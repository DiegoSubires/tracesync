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TraceSync\chamberInventoryMP\"/>
    </mc:Choice>
  </mc:AlternateContent>
  <xr:revisionPtr revIDLastSave="0" documentId="8_{1F156E04-CBED-47A8-9218-78FD08420F1A}" xr6:coauthVersionLast="47" xr6:coauthVersionMax="47" xr10:uidLastSave="{00000000-0000-0000-0000-000000000000}"/>
  <bookViews>
    <workbookView xWindow="-120" yWindow="-120" windowWidth="29040" windowHeight="15840" xr2:uid="{0A77D8FD-0E9F-4343-8F7D-9D473602FFD7}"/>
  </bookViews>
  <sheets>
    <sheet name="    22,23" sheetId="1" r:id="rId1"/>
  </sheets>
  <definedNames>
    <definedName name="_xlnm._FilterDatabase" localSheetId="0" hidden="1">'    22,23'!$A$2:$M$144</definedName>
    <definedName name="_xlnm.Print_Area" localSheetId="0">'    22,23'!$A$1:$M$148</definedName>
    <definedName name="_xlnm.Print_Titles" localSheetId="0">'    22,23'!$1:$1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49" i="1" l="1"/>
  <c r="D149" i="1"/>
  <c r="I148" i="1"/>
  <c r="D148" i="1"/>
  <c r="K147" i="1"/>
  <c r="D147" i="1"/>
  <c r="K146" i="1"/>
  <c r="D146" i="1"/>
  <c r="K145" i="1"/>
  <c r="D145" i="1"/>
  <c r="K144" i="1"/>
  <c r="D144" i="1"/>
  <c r="I143" i="1"/>
  <c r="E143" i="1"/>
  <c r="D143" i="1"/>
  <c r="K142" i="1"/>
  <c r="D142" i="1"/>
  <c r="K141" i="1"/>
  <c r="B141" i="1"/>
  <c r="K140" i="1"/>
  <c r="D140" i="1"/>
  <c r="K139" i="1"/>
  <c r="D139" i="1"/>
  <c r="K138" i="1"/>
  <c r="B138" i="1"/>
  <c r="K135" i="1"/>
  <c r="D135" i="1"/>
  <c r="K134" i="1"/>
  <c r="D134" i="1"/>
  <c r="K133" i="1"/>
  <c r="D133" i="1"/>
  <c r="K132" i="1"/>
  <c r="C132" i="1"/>
  <c r="K131" i="1"/>
  <c r="D131" i="1"/>
  <c r="K130" i="1"/>
  <c r="D130" i="1"/>
  <c r="K129" i="1"/>
  <c r="D129" i="1"/>
  <c r="K128" i="1"/>
  <c r="D128" i="1"/>
  <c r="K127" i="1"/>
  <c r="D127" i="1"/>
  <c r="I126" i="1"/>
  <c r="D126" i="1"/>
  <c r="K125" i="1"/>
  <c r="D125" i="1"/>
  <c r="I124" i="1"/>
  <c r="H124" i="1"/>
  <c r="G124" i="1"/>
  <c r="E124" i="1"/>
  <c r="D124" i="1"/>
  <c r="K123" i="1"/>
  <c r="D123" i="1"/>
  <c r="K122" i="1"/>
  <c r="D122" i="1"/>
  <c r="K121" i="1"/>
  <c r="C121" i="1"/>
  <c r="K120" i="1"/>
  <c r="D120" i="1"/>
  <c r="K119" i="1"/>
  <c r="D119" i="1"/>
  <c r="I118" i="1"/>
  <c r="G118" i="1"/>
  <c r="C118" i="1"/>
  <c r="K117" i="1"/>
  <c r="I117" i="1"/>
  <c r="B117" i="1"/>
  <c r="I116" i="1"/>
  <c r="H116" i="1"/>
  <c r="E116" i="1"/>
  <c r="B116" i="1"/>
  <c r="K115" i="1"/>
  <c r="D115" i="1"/>
  <c r="K114" i="1"/>
  <c r="D114" i="1"/>
  <c r="M113" i="1"/>
  <c r="I113" i="1"/>
  <c r="H113" i="1"/>
  <c r="G113" i="1"/>
  <c r="F113" i="1"/>
  <c r="E113" i="1"/>
  <c r="C113" i="1"/>
  <c r="K112" i="1"/>
  <c r="D112" i="1"/>
  <c r="K111" i="1"/>
  <c r="D111" i="1"/>
  <c r="K110" i="1"/>
  <c r="D110" i="1"/>
  <c r="K109" i="1"/>
  <c r="D109" i="1"/>
  <c r="K108" i="1"/>
  <c r="D108" i="1"/>
  <c r="K107" i="1"/>
  <c r="D107" i="1"/>
  <c r="I106" i="1"/>
  <c r="H106" i="1"/>
  <c r="E106" i="1"/>
  <c r="D106" i="1"/>
  <c r="I105" i="1"/>
  <c r="H105" i="1"/>
  <c r="E105" i="1"/>
  <c r="D105" i="1"/>
  <c r="I104" i="1"/>
  <c r="D104" i="1"/>
  <c r="K103" i="1"/>
  <c r="C103" i="1"/>
  <c r="K102" i="1"/>
  <c r="D102" i="1"/>
  <c r="K101" i="1"/>
  <c r="D101" i="1"/>
  <c r="K100" i="1"/>
  <c r="D100" i="1"/>
  <c r="K99" i="1"/>
  <c r="D99" i="1"/>
  <c r="K98" i="1"/>
  <c r="D98" i="1"/>
  <c r="K97" i="1"/>
  <c r="D97" i="1"/>
  <c r="K96" i="1"/>
  <c r="D96" i="1"/>
  <c r="K95" i="1"/>
  <c r="D95" i="1"/>
  <c r="K94" i="1"/>
  <c r="D94" i="1"/>
  <c r="K93" i="1"/>
  <c r="D93" i="1"/>
  <c r="K92" i="1"/>
  <c r="C92" i="1"/>
  <c r="K91" i="1"/>
  <c r="H90" i="1"/>
  <c r="K89" i="1"/>
  <c r="D89" i="1"/>
  <c r="I88" i="1"/>
  <c r="H88" i="1"/>
  <c r="G88" i="1"/>
  <c r="F88" i="1"/>
  <c r="E88" i="1"/>
  <c r="D88" i="1"/>
  <c r="K87" i="1"/>
  <c r="B87" i="1"/>
  <c r="K86" i="1"/>
  <c r="D86" i="1"/>
  <c r="K85" i="1"/>
  <c r="D85" i="1"/>
  <c r="K84" i="1"/>
  <c r="D84" i="1"/>
  <c r="H83" i="1"/>
  <c r="B83" i="1"/>
  <c r="K82" i="1"/>
  <c r="D82" i="1"/>
  <c r="K81" i="1"/>
  <c r="D81" i="1"/>
  <c r="K80" i="1"/>
  <c r="D80" i="1"/>
  <c r="A78" i="1"/>
  <c r="K75" i="1"/>
  <c r="D75" i="1"/>
  <c r="K74" i="1"/>
  <c r="D74" i="1"/>
  <c r="K73" i="1"/>
  <c r="D73" i="1"/>
  <c r="K72" i="1"/>
  <c r="D72" i="1"/>
  <c r="K71" i="1"/>
  <c r="D71" i="1"/>
  <c r="K70" i="1"/>
  <c r="D70" i="1"/>
  <c r="K69" i="1"/>
  <c r="D69" i="1"/>
  <c r="K68" i="1"/>
  <c r="D68" i="1"/>
  <c r="K67" i="1"/>
  <c r="C67" i="1"/>
  <c r="I65" i="1"/>
  <c r="C65" i="1"/>
  <c r="K64" i="1"/>
  <c r="D64" i="1"/>
  <c r="K63" i="1"/>
  <c r="D63" i="1"/>
  <c r="K62" i="1"/>
  <c r="B62" i="1"/>
  <c r="K61" i="1"/>
  <c r="D61" i="1"/>
  <c r="M60" i="1"/>
  <c r="K60" i="1"/>
  <c r="D60" i="1"/>
  <c r="M59" i="1"/>
  <c r="K59" i="1"/>
  <c r="C59" i="1"/>
  <c r="K58" i="1"/>
  <c r="D58" i="1"/>
  <c r="M57" i="1"/>
  <c r="K57" i="1"/>
  <c r="C57" i="1"/>
  <c r="B57" i="1"/>
  <c r="M54" i="1"/>
  <c r="K54" i="1"/>
  <c r="C54" i="1"/>
  <c r="K53" i="1"/>
  <c r="D53" i="1"/>
  <c r="K52" i="1"/>
  <c r="D52" i="1"/>
  <c r="H51" i="1"/>
  <c r="D51" i="1"/>
  <c r="K50" i="1"/>
  <c r="D50" i="1"/>
  <c r="K49" i="1"/>
  <c r="D49" i="1"/>
  <c r="K48" i="1"/>
  <c r="D48" i="1"/>
  <c r="I47" i="1"/>
  <c r="C47" i="1"/>
  <c r="I46" i="1"/>
  <c r="C46" i="1"/>
  <c r="K45" i="1"/>
  <c r="D45" i="1"/>
  <c r="K44" i="1"/>
  <c r="D44" i="1"/>
  <c r="K43" i="1"/>
  <c r="D43" i="1"/>
  <c r="K42" i="1"/>
  <c r="D42" i="1"/>
  <c r="K41" i="1"/>
  <c r="D41" i="1"/>
  <c r="K40" i="1"/>
  <c r="D40" i="1"/>
  <c r="K39" i="1"/>
  <c r="D39" i="1"/>
  <c r="I38" i="1"/>
  <c r="H38" i="1"/>
  <c r="G38" i="1"/>
  <c r="D38" i="1"/>
  <c r="K37" i="1"/>
  <c r="D37" i="1"/>
  <c r="K36" i="1"/>
  <c r="D36" i="1"/>
  <c r="K35" i="1"/>
  <c r="D35" i="1"/>
  <c r="K34" i="1"/>
  <c r="D34" i="1"/>
  <c r="K33" i="1"/>
  <c r="D33" i="1"/>
  <c r="K32" i="1"/>
  <c r="C32" i="1"/>
  <c r="M31" i="1"/>
  <c r="K31" i="1"/>
  <c r="I31" i="1"/>
  <c r="C31" i="1"/>
  <c r="M30" i="1"/>
  <c r="I30" i="1"/>
  <c r="H30" i="1"/>
  <c r="C30" i="1"/>
  <c r="B30" i="1"/>
  <c r="K29" i="1"/>
  <c r="D29" i="1"/>
  <c r="I28" i="1"/>
  <c r="E28" i="1"/>
  <c r="C28" i="1"/>
  <c r="B28" i="1"/>
  <c r="H27" i="1"/>
  <c r="E27" i="1"/>
  <c r="C27" i="1"/>
  <c r="K26" i="1"/>
  <c r="D26" i="1"/>
  <c r="K25" i="1"/>
  <c r="C25" i="1"/>
  <c r="K24" i="1"/>
  <c r="D24" i="1"/>
  <c r="F23" i="1"/>
  <c r="B23" i="1"/>
  <c r="K22" i="1"/>
  <c r="D22" i="1"/>
  <c r="H21" i="1"/>
  <c r="C21" i="1"/>
  <c r="K20" i="1"/>
  <c r="D20" i="1"/>
  <c r="K19" i="1"/>
  <c r="D19" i="1"/>
  <c r="K18" i="1"/>
  <c r="I18" i="1"/>
  <c r="C18" i="1"/>
  <c r="M17" i="1"/>
  <c r="I17" i="1"/>
  <c r="B17" i="1"/>
  <c r="K16" i="1"/>
  <c r="D16" i="1"/>
  <c r="K15" i="1"/>
  <c r="D15" i="1"/>
  <c r="K14" i="1"/>
  <c r="I14" i="1"/>
  <c r="C14" i="1"/>
  <c r="I13" i="1"/>
  <c r="C13" i="1"/>
  <c r="I12" i="1"/>
  <c r="G12" i="1"/>
  <c r="C12" i="1"/>
  <c r="B12" i="1"/>
  <c r="I11" i="1"/>
  <c r="H11" i="1"/>
  <c r="C11" i="1"/>
  <c r="B11" i="1"/>
  <c r="M10" i="1"/>
  <c r="I10" i="1"/>
  <c r="H10" i="1"/>
  <c r="F10" i="1"/>
  <c r="C10" i="1"/>
  <c r="B10" i="1"/>
  <c r="M9" i="1"/>
  <c r="E9" i="1"/>
  <c r="D9" i="1"/>
  <c r="C9" i="1"/>
  <c r="K8" i="1"/>
  <c r="D8" i="1"/>
  <c r="K7" i="1"/>
  <c r="D7" i="1"/>
  <c r="K6" i="1"/>
  <c r="D6" i="1"/>
  <c r="K5" i="1"/>
  <c r="D5" i="1"/>
  <c r="K4" i="1"/>
  <c r="D4" i="1"/>
  <c r="K3" i="1"/>
  <c r="C3" i="1"/>
  <c r="L133" i="1" l="1"/>
  <c r="L131" i="1"/>
  <c r="L128" i="1"/>
  <c r="K126" i="1"/>
  <c r="L125" i="1"/>
  <c r="L122" i="1"/>
  <c r="D121" i="1"/>
  <c r="L121" i="1" s="1"/>
  <c r="L120" i="1"/>
  <c r="L119" i="1"/>
  <c r="L115" i="1"/>
  <c r="K113" i="1"/>
  <c r="D113" i="1"/>
  <c r="L113" i="1" s="1"/>
  <c r="L112" i="1"/>
  <c r="L108" i="1"/>
  <c r="L107" i="1"/>
  <c r="L98" i="1"/>
  <c r="L95" i="1"/>
  <c r="K90" i="1"/>
  <c r="L90" i="1" s="1"/>
  <c r="L19" i="1"/>
  <c r="D18" i="1"/>
  <c r="L18" i="1" s="1"/>
  <c r="L16" i="1"/>
  <c r="L15" i="1"/>
  <c r="D13" i="1"/>
  <c r="K12" i="1"/>
  <c r="K10" i="1"/>
  <c r="D3" i="1"/>
  <c r="L3" i="1" s="1"/>
  <c r="K148" i="1"/>
  <c r="L148" i="1"/>
  <c r="D67" i="1"/>
  <c r="L67" i="1" s="1"/>
  <c r="K65" i="1"/>
  <c r="D65" i="1"/>
  <c r="L65" i="1" s="1"/>
  <c r="L64" i="1"/>
  <c r="L60" i="1"/>
  <c r="D59" i="1"/>
  <c r="L59" i="1" s="1"/>
  <c r="D57" i="1"/>
  <c r="L57" i="1" s="1"/>
  <c r="D54" i="1"/>
  <c r="L54" i="1" s="1"/>
  <c r="K51" i="1"/>
  <c r="L49" i="1"/>
  <c r="L48" i="1"/>
  <c r="K47" i="1"/>
  <c r="D47" i="1"/>
  <c r="L47" i="1" s="1"/>
  <c r="K46" i="1"/>
  <c r="D46" i="1"/>
  <c r="L46" i="1" s="1"/>
  <c r="L45" i="1"/>
  <c r="L44" i="1"/>
  <c r="L43" i="1"/>
  <c r="L42" i="1"/>
  <c r="L41" i="1"/>
  <c r="L39" i="1"/>
  <c r="K38" i="1"/>
  <c r="L36" i="1"/>
  <c r="L34" i="1"/>
  <c r="L33" i="1"/>
  <c r="D28" i="1"/>
  <c r="D27" i="1"/>
  <c r="L26" i="1"/>
  <c r="D23" i="1"/>
  <c r="L22" i="1"/>
  <c r="K21" i="1"/>
  <c r="D21" i="1"/>
  <c r="L21" i="1" s="1"/>
  <c r="L20" i="1"/>
  <c r="K17" i="1"/>
  <c r="D17" i="1"/>
  <c r="L17" i="1" s="1"/>
  <c r="D14" i="1"/>
  <c r="L14" i="1" s="1"/>
  <c r="K13" i="1"/>
  <c r="D12" i="1"/>
  <c r="L12" i="1" s="1"/>
  <c r="K11" i="1"/>
  <c r="D11" i="1"/>
  <c r="L11" i="1" s="1"/>
  <c r="D10" i="1"/>
  <c r="L10" i="1" s="1"/>
  <c r="K9" i="1"/>
  <c r="L8" i="1"/>
  <c r="L7" i="1"/>
  <c r="L149" i="1"/>
  <c r="L147" i="1"/>
  <c r="L146" i="1"/>
  <c r="L145" i="1"/>
  <c r="L144" i="1"/>
  <c r="K143" i="1"/>
  <c r="L142" i="1"/>
  <c r="D141" i="1"/>
  <c r="L141" i="1" s="1"/>
  <c r="L140" i="1"/>
  <c r="L139" i="1"/>
  <c r="D138" i="1"/>
  <c r="L138" i="1" s="1"/>
  <c r="L135" i="1"/>
  <c r="L134" i="1"/>
  <c r="D132" i="1"/>
  <c r="L132" i="1" s="1"/>
  <c r="L130" i="1"/>
  <c r="L129" i="1"/>
  <c r="L127" i="1"/>
  <c r="L126" i="1"/>
  <c r="K124" i="1"/>
  <c r="L123" i="1"/>
  <c r="K118" i="1"/>
  <c r="D118" i="1"/>
  <c r="L118" i="1" s="1"/>
  <c r="D117" i="1"/>
  <c r="L117" i="1" s="1"/>
  <c r="K116" i="1"/>
  <c r="D116" i="1"/>
  <c r="L116" i="1" s="1"/>
  <c r="L114" i="1"/>
  <c r="L111" i="1"/>
  <c r="L110" i="1"/>
  <c r="L109" i="1"/>
  <c r="K106" i="1"/>
  <c r="K105" i="1"/>
  <c r="K104" i="1"/>
  <c r="D103" i="1"/>
  <c r="L103" i="1" s="1"/>
  <c r="L102" i="1"/>
  <c r="L101" i="1"/>
  <c r="L100" i="1"/>
  <c r="L99" i="1"/>
  <c r="L96" i="1"/>
  <c r="L94" i="1"/>
  <c r="D92" i="1"/>
  <c r="L92" i="1" s="1"/>
  <c r="L91" i="1"/>
  <c r="L89" i="1"/>
  <c r="K88" i="1"/>
  <c r="D87" i="1"/>
  <c r="L87" i="1" s="1"/>
  <c r="L86" i="1"/>
  <c r="L85" i="1"/>
  <c r="L84" i="1"/>
  <c r="K83" i="1"/>
  <c r="D83" i="1"/>
  <c r="L83" i="1" s="1"/>
  <c r="L82" i="1"/>
  <c r="L81" i="1"/>
  <c r="L80" i="1"/>
  <c r="L75" i="1"/>
  <c r="L74" i="1"/>
  <c r="L73" i="1"/>
  <c r="L72" i="1"/>
  <c r="L71" i="1"/>
  <c r="L70" i="1"/>
  <c r="L69" i="1"/>
  <c r="L68" i="1"/>
  <c r="L63" i="1"/>
  <c r="D62" i="1"/>
  <c r="L62" i="1" s="1"/>
  <c r="L61" i="1"/>
  <c r="L58" i="1"/>
  <c r="L53" i="1"/>
  <c r="L52" i="1"/>
  <c r="L51" i="1"/>
  <c r="L50" i="1"/>
  <c r="L40" i="1"/>
  <c r="L38" i="1"/>
  <c r="L37" i="1"/>
  <c r="L35" i="1"/>
  <c r="D32" i="1"/>
  <c r="L32" i="1" s="1"/>
  <c r="D31" i="1"/>
  <c r="L31" i="1" s="1"/>
  <c r="K30" i="1"/>
  <c r="D30" i="1"/>
  <c r="L30" i="1" s="1"/>
  <c r="L29" i="1"/>
  <c r="K28" i="1"/>
  <c r="K27" i="1"/>
  <c r="D25" i="1"/>
  <c r="L25" i="1" s="1"/>
  <c r="L24" i="1"/>
  <c r="K23" i="1"/>
  <c r="L6" i="1"/>
  <c r="L5" i="1"/>
  <c r="L4" i="1"/>
  <c r="L143" i="1" l="1"/>
  <c r="L106" i="1"/>
  <c r="L105" i="1"/>
  <c r="L104" i="1"/>
  <c r="L13" i="1"/>
  <c r="L9" i="1"/>
  <c r="L28" i="1"/>
  <c r="L27" i="1"/>
  <c r="L23" i="1"/>
  <c r="L124" i="1"/>
  <c r="L88" i="1"/>
</calcChain>
</file>

<file path=xl/sharedStrings.xml><?xml version="1.0" encoding="utf-8"?>
<sst xmlns="http://schemas.openxmlformats.org/spreadsheetml/2006/main" count="205" uniqueCount="145">
  <si>
    <t>SEMANA DE  28/05/26 AL 03/06/2026</t>
  </si>
  <si>
    <t xml:space="preserve"> </t>
  </si>
  <si>
    <t>BANDEJA GRANEL</t>
  </si>
  <si>
    <t>Stock Inicial</t>
  </si>
  <si>
    <t>Produccion</t>
  </si>
  <si>
    <t>Total</t>
  </si>
  <si>
    <t>J</t>
  </si>
  <si>
    <t>V</t>
  </si>
  <si>
    <t>S</t>
  </si>
  <si>
    <t>L</t>
  </si>
  <si>
    <t>M</t>
  </si>
  <si>
    <t>X</t>
  </si>
  <si>
    <t>Total Salida</t>
  </si>
  <si>
    <t>Stock Real</t>
  </si>
  <si>
    <t>Stock   Final</t>
  </si>
  <si>
    <t>HAMBURGUESAS TERN</t>
  </si>
  <si>
    <t>HAMBURGUESAS MIXTAS</t>
  </si>
  <si>
    <t>HAMBURGUESAS AVE</t>
  </si>
  <si>
    <t>HAMBURGUESAS DE AVE MINI</t>
  </si>
  <si>
    <t>HAMBURGUESAS CERDO</t>
  </si>
  <si>
    <t>CRESTAS ROJAS</t>
  </si>
  <si>
    <t>CRESTAS  DE  CERDO</t>
  </si>
  <si>
    <t>VACUNO MAXI 200gr</t>
  </si>
  <si>
    <t>CASERA MAXI 200gr</t>
  </si>
  <si>
    <t>BACON QUESO MAXI 200 gr</t>
  </si>
  <si>
    <t>POLLO TIJUANA MAXI 200 gr</t>
  </si>
  <si>
    <t>POLLO CHILE MAXI 200 gr</t>
  </si>
  <si>
    <t>POLLO KEBAB MAXI 200 gr</t>
  </si>
  <si>
    <t>POLLO MIEL/TOMATE MAXI 200 gr</t>
  </si>
  <si>
    <t>POLLO SETAS MAXI 200 gr</t>
  </si>
  <si>
    <t>POLLO ESPINACAS MAXI 200 gr</t>
  </si>
  <si>
    <t>POLLO  PIMIENTA  VERDE MAXI 200 gr</t>
  </si>
  <si>
    <t>POLLO  VERDURA  MAXI 200 gr</t>
  </si>
  <si>
    <t>POLLO  CRESTA  MAXI 200 gr</t>
  </si>
  <si>
    <t>PAVO MAXI 200 gr</t>
  </si>
  <si>
    <t>ANGUS VACUNO MAXI 200 gr</t>
  </si>
  <si>
    <t>CASERA QUESO MAXI 1,2 kg</t>
  </si>
  <si>
    <t>S, BLANCAS CERDO TRANSPAR. 1,5</t>
  </si>
  <si>
    <t>S, ROJAS CERDO TRANSPARENTES  1,5</t>
  </si>
  <si>
    <t>S, BLANCAS POLLO TRANSPARENTES  1,5</t>
  </si>
  <si>
    <t>CRIOLLOS  3  KG</t>
  </si>
  <si>
    <t>CHORIZO  DE  POLLO</t>
  </si>
  <si>
    <t>CHURRASCO  POLLO</t>
  </si>
  <si>
    <t>ALITAS  ALIÑADAS  GRANEL</t>
  </si>
  <si>
    <t>SALTEADO DE POLLO CON VERDURAS</t>
  </si>
  <si>
    <t>CHURRASCO DE CERDO</t>
  </si>
  <si>
    <t>PARRILLADA ANDALUZA Nº 1</t>
  </si>
  <si>
    <t>PARRILLADA BUTIFARRA</t>
  </si>
  <si>
    <t xml:space="preserve">PARRILLADA CHISTORRA </t>
  </si>
  <si>
    <t>PARRILLADA CRIOLLO</t>
  </si>
  <si>
    <t>KEBAB</t>
  </si>
  <si>
    <t>KEBAB CHICK</t>
  </si>
  <si>
    <t>KEBAB SIN GLUTAMATO</t>
  </si>
  <si>
    <t>CHULETAS PAVO AJILLO</t>
  </si>
  <si>
    <t>PECHUGA PAVO AJILLO</t>
  </si>
  <si>
    <t>PECHUGA PAVO ADOBADA</t>
  </si>
  <si>
    <t>FILETES POLLO EMPANADO</t>
  </si>
  <si>
    <t>LAGRIMITAS</t>
  </si>
  <si>
    <t>FLAMENQUIN DE POLLO</t>
  </si>
  <si>
    <t>FLAMENQUIN DE CERDO</t>
  </si>
  <si>
    <t>CACHOPO</t>
  </si>
  <si>
    <t>BROCHETA DE POLLO ALIÑADA CON VERDURAS</t>
  </si>
  <si>
    <t>BROCHETA DE CERDO ALIÑADA CON VERDURAS</t>
  </si>
  <si>
    <t>BROCHETA DE POLLO CON VERDURAS</t>
  </si>
  <si>
    <t>BROCHETA DE CERDO CON VERDURAS</t>
  </si>
  <si>
    <t>PINCHO GRANEL CORTE INGLES</t>
  </si>
  <si>
    <t>PINCHO CONTRAMUSLO</t>
  </si>
  <si>
    <t>MAKRO FRESCO</t>
  </si>
  <si>
    <t>HAMBURGUESAS MINI IBERICAS MAKRO</t>
  </si>
  <si>
    <t>HAMBURGUESAS MIXTAS  MINI MAKRO</t>
  </si>
  <si>
    <t>HAMBURGUESAS CERDO MINI MAKRO</t>
  </si>
  <si>
    <t>HAMBURGUESAS DE AVE MINI  MAKRO</t>
  </si>
  <si>
    <t>CRIOLLOS  MAKRO</t>
  </si>
  <si>
    <t>CRESTAS  MAKRO( con Coviran )</t>
  </si>
  <si>
    <t>CRESTAS  MAKRO  ROJAS</t>
  </si>
  <si>
    <t>CHURRASCO  DE  POLLO MAKRO</t>
  </si>
  <si>
    <t>PINCHOS POLLO PALO MAKRO</t>
  </si>
  <si>
    <t>MAKRO CURADO</t>
  </si>
  <si>
    <t xml:space="preserve"> STOCK FINAL</t>
  </si>
  <si>
    <t>CHORIZO  FRESCO ROSARIO MAKRO</t>
  </si>
  <si>
    <t>CHORIZO  MINI FRESCO MAKRO</t>
  </si>
  <si>
    <t>CASERO  MAKRO</t>
  </si>
  <si>
    <t>CHORIZO  H.P. MAKRO</t>
  </si>
  <si>
    <t>MORENITOS  MAKRO</t>
  </si>
  <si>
    <t>CHISTORRA MAKRO</t>
  </si>
  <si>
    <t>MORCILLA  SERRANA</t>
  </si>
  <si>
    <t>MORCILLA T. RONDA MAKRO</t>
  </si>
  <si>
    <t>MORCILLA  CEBOLLA MAKRO</t>
  </si>
  <si>
    <t>BANDEJA PEQUEÑA</t>
  </si>
  <si>
    <t>STOCKFINAL</t>
  </si>
  <si>
    <t xml:space="preserve">HAMBURGUESA DE TERNERA </t>
  </si>
  <si>
    <t>HAMBURGUESAS AVE  MINI</t>
  </si>
  <si>
    <t>HAMBURGUESAS  CERDO</t>
  </si>
  <si>
    <t>PICOTEO  MINI  BURGUER CRESTAS</t>
  </si>
  <si>
    <t>MINI BURGUER CRESTAS  ROJAS</t>
  </si>
  <si>
    <t>SURTIDO  MINI  BURGUER  CRESTAS</t>
  </si>
  <si>
    <t>CRESTAS</t>
  </si>
  <si>
    <t>BACON QUESO MAXI 200gr</t>
  </si>
  <si>
    <t>POLLO TIJUANA MAXI 200gr</t>
  </si>
  <si>
    <t>POLLO CHILE MAXI 200gr</t>
  </si>
  <si>
    <t>POLLO KEBAB MAXI 200gr</t>
  </si>
  <si>
    <t>POLLO MIEL/TOMATE MAXI 200gr</t>
  </si>
  <si>
    <t xml:space="preserve">POLLO SETAS MAXI 200gr                     </t>
  </si>
  <si>
    <t xml:space="preserve">POLLO ESPINACAS MAXI 200gr                   </t>
  </si>
  <si>
    <t xml:space="preserve">POLLO PIMIENTA VERDE MAXI 200gr             </t>
  </si>
  <si>
    <t xml:space="preserve">POLLO VERDURA MAXI 200 gr             </t>
  </si>
  <si>
    <t>POLLO CRESTA MAXI 200gr</t>
  </si>
  <si>
    <t>CASERA QUESO MAXI 200gr</t>
  </si>
  <si>
    <t>ANGUS VACUNO MAXI 200gr</t>
  </si>
  <si>
    <t>S, BLANCAS CERDO</t>
  </si>
  <si>
    <t>S, ROJAS     CERDO</t>
  </si>
  <si>
    <t>S , BLANCAS POLLO</t>
  </si>
  <si>
    <t>CRIOLLOS</t>
  </si>
  <si>
    <t>PICADILLO CHORIZO</t>
  </si>
  <si>
    <t>PICADILLO MORCILLA</t>
  </si>
  <si>
    <t>PICADA  DE  POLLO</t>
  </si>
  <si>
    <t>PINCHOS POLLO GRAN FORMATO</t>
  </si>
  <si>
    <t>PINCHOS CERDO GRAN FORMATO</t>
  </si>
  <si>
    <t xml:space="preserve">PINCHITOS ROJO CERDO  </t>
  </si>
  <si>
    <t>PINCHITOS  DE  POLLO</t>
  </si>
  <si>
    <t>PINCHO AMARILLO CERDO</t>
  </si>
  <si>
    <t>CHURRASCO POLLO</t>
  </si>
  <si>
    <t>ALITAS  ALIÑADAS</t>
  </si>
  <si>
    <t>LOMO  ADOBADO</t>
  </si>
  <si>
    <t>LOMO  NATURAL</t>
  </si>
  <si>
    <t>LOMO  AJILLO</t>
  </si>
  <si>
    <t>MAGRETA  ADOBADA</t>
  </si>
  <si>
    <t>MAGRETA  AJILLO</t>
  </si>
  <si>
    <t>CHULETA  SAJONIA</t>
  </si>
  <si>
    <t xml:space="preserve">KEBAB DE POLLO  </t>
  </si>
  <si>
    <t>KEBAB TERNERA</t>
  </si>
  <si>
    <t>FILETE POLLO EMPANADO</t>
  </si>
  <si>
    <t>STOCK FINAL</t>
  </si>
  <si>
    <t>MORCILLA  CASERA</t>
  </si>
  <si>
    <t>MORCILLA TIPO MADRID</t>
  </si>
  <si>
    <t xml:space="preserve">MORENITOS </t>
  </si>
  <si>
    <t>CHORIZO  TIPO  MADRID</t>
  </si>
  <si>
    <t>MANTECA  BLANCA</t>
  </si>
  <si>
    <t>CHORIZO  ROSARIO FRESCO</t>
  </si>
  <si>
    <t>CHORIZO  MINI  FRESCO</t>
  </si>
  <si>
    <t>CHORIZO  CASERO</t>
  </si>
  <si>
    <t>MIXTO</t>
  </si>
  <si>
    <t>MORCILLA  CEBOLLA</t>
  </si>
  <si>
    <t xml:space="preserve">CHORIZO DE POLLO </t>
  </si>
  <si>
    <t>PANCETA OREADA 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</si>
</sst>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_ ;[Red]\-#,##0\ "/>
  </numFmts>
  <fonts count="16" x14ac:knownFonts="1">
    <font>
      <sz val="10"/>
      <name val="Arial"/>
    </font>
    <font>
      <sz val="9"/>
      <color indexed="9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0070C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rgb="FF0070C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indexed="10"/>
      <name val="Arial"/>
      <family val="2"/>
    </font>
    <font>
      <u/>
      <sz val="9"/>
      <name val="Arial"/>
      <family val="2"/>
    </font>
    <font>
      <sz val="8"/>
      <color theme="1"/>
      <name val="Arial"/>
      <family val="2"/>
    </font>
    <font>
      <sz val="9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00000"/>
        <bgColor indexed="24"/>
      </patternFill>
    </fill>
    <fill>
      <patternFill patternType="solid">
        <fgColor rgb="FFC0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4" fillId="0" borderId="0" xfId="0" applyFont="1" applyAlignment="1">
      <alignment horizontal="center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1" xfId="0" applyFont="1" applyBorder="1"/>
    <xf numFmtId="1" fontId="3" fillId="0" borderId="1" xfId="1" applyNumberFormat="1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3" fontId="10" fillId="4" borderId="1" xfId="0" applyNumberFormat="1" applyFont="1" applyFill="1" applyBorder="1" applyAlignment="1">
      <alignment horizontal="center"/>
    </xf>
    <xf numFmtId="1" fontId="11" fillId="0" borderId="2" xfId="1" applyNumberFormat="1" applyFont="1" applyFill="1" applyBorder="1" applyAlignment="1">
      <alignment horizontal="center"/>
    </xf>
    <xf numFmtId="1" fontId="11" fillId="5" borderId="2" xfId="1" applyNumberFormat="1" applyFont="1" applyFill="1" applyBorder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3" fontId="8" fillId="0" borderId="2" xfId="0" applyNumberFormat="1" applyFont="1" applyBorder="1" applyAlignment="1">
      <alignment horizontal="right"/>
    </xf>
    <xf numFmtId="3" fontId="3" fillId="0" borderId="0" xfId="0" applyNumberFormat="1" applyFont="1"/>
    <xf numFmtId="3" fontId="5" fillId="6" borderId="2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7" borderId="1" xfId="0" applyFont="1" applyFill="1" applyBorder="1"/>
    <xf numFmtId="0" fontId="5" fillId="7" borderId="2" xfId="0" applyFont="1" applyFill="1" applyBorder="1"/>
    <xf numFmtId="3" fontId="10" fillId="4" borderId="2" xfId="0" applyNumberFormat="1" applyFont="1" applyFill="1" applyBorder="1" applyAlignment="1">
      <alignment horizontal="center"/>
    </xf>
    <xf numFmtId="0" fontId="5" fillId="8" borderId="2" xfId="0" applyFont="1" applyFill="1" applyBorder="1"/>
    <xf numFmtId="1" fontId="3" fillId="6" borderId="1" xfId="1" applyNumberFormat="1" applyFont="1" applyFill="1" applyBorder="1" applyAlignment="1">
      <alignment horizontal="center"/>
    </xf>
    <xf numFmtId="0" fontId="5" fillId="0" borderId="2" xfId="0" applyFont="1" applyBorder="1"/>
    <xf numFmtId="0" fontId="5" fillId="9" borderId="2" xfId="0" applyFont="1" applyFill="1" applyBorder="1"/>
    <xf numFmtId="0" fontId="5" fillId="10" borderId="2" xfId="0" applyFont="1" applyFill="1" applyBorder="1"/>
    <xf numFmtId="0" fontId="6" fillId="0" borderId="2" xfId="0" applyFont="1" applyBorder="1"/>
    <xf numFmtId="0" fontId="6" fillId="11" borderId="2" xfId="0" applyFont="1" applyFill="1" applyBorder="1"/>
    <xf numFmtId="0" fontId="5" fillId="0" borderId="0" xfId="0" applyFont="1"/>
    <xf numFmtId="3" fontId="5" fillId="0" borderId="0" xfId="0" applyNumberFormat="1" applyFont="1"/>
    <xf numFmtId="3" fontId="10" fillId="0" borderId="0" xfId="0" applyNumberFormat="1" applyFont="1"/>
    <xf numFmtId="1" fontId="11" fillId="0" borderId="0" xfId="1" applyNumberFormat="1" applyFont="1" applyFill="1" applyBorder="1"/>
    <xf numFmtId="3" fontId="2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12" fillId="0" borderId="0" xfId="0" applyNumberFormat="1" applyFont="1"/>
    <xf numFmtId="3" fontId="8" fillId="0" borderId="0" xfId="0" applyNumberFormat="1" applyFont="1" applyAlignment="1">
      <alignment horizontal="right"/>
    </xf>
    <xf numFmtId="3" fontId="5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3" fontId="8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0" xfId="0" applyFont="1"/>
    <xf numFmtId="3" fontId="5" fillId="0" borderId="3" xfId="0" applyNumberFormat="1" applyFont="1" applyBorder="1" applyAlignment="1">
      <alignment horizontal="center"/>
    </xf>
    <xf numFmtId="3" fontId="10" fillId="4" borderId="3" xfId="0" applyNumberFormat="1" applyFont="1" applyFill="1" applyBorder="1" applyAlignment="1">
      <alignment horizontal="center"/>
    </xf>
    <xf numFmtId="0" fontId="5" fillId="0" borderId="4" xfId="0" applyFont="1" applyBorder="1"/>
    <xf numFmtId="3" fontId="5" fillId="0" borderId="4" xfId="0" applyNumberFormat="1" applyFont="1" applyBorder="1" applyAlignment="1">
      <alignment horizontal="center"/>
    </xf>
    <xf numFmtId="3" fontId="10" fillId="4" borderId="4" xfId="0" applyNumberFormat="1" applyFont="1" applyFill="1" applyBorder="1" applyAlignment="1">
      <alignment horizontal="center"/>
    </xf>
    <xf numFmtId="1" fontId="11" fillId="0" borderId="0" xfId="1" applyNumberFormat="1" applyFont="1" applyFill="1" applyBorder="1" applyAlignment="1">
      <alignment horizontal="center"/>
    </xf>
    <xf numFmtId="1" fontId="11" fillId="0" borderId="0" xfId="0" applyNumberFormat="1" applyFont="1"/>
    <xf numFmtId="0" fontId="14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10" fillId="4" borderId="3" xfId="0" applyNumberFormat="1" applyFont="1" applyFill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4" fontId="10" fillId="4" borderId="2" xfId="0" applyNumberFormat="1" applyFont="1" applyFill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5" fillId="12" borderId="2" xfId="0" applyFont="1" applyFill="1" applyBorder="1"/>
    <xf numFmtId="3" fontId="15" fillId="0" borderId="0" xfId="0" applyNumberFormat="1" applyFont="1"/>
    <xf numFmtId="164" fontId="10" fillId="0" borderId="0" xfId="0" applyNumberFormat="1" applyFont="1"/>
    <xf numFmtId="0" fontId="11" fillId="0" borderId="0" xfId="0" applyFont="1" applyAlignment="1">
      <alignment horizontal="right"/>
    </xf>
    <xf numFmtId="1" fontId="3" fillId="0" borderId="5" xfId="1" applyNumberFormat="1" applyFont="1" applyFill="1" applyBorder="1"/>
    <xf numFmtId="164" fontId="8" fillId="0" borderId="0" xfId="0" applyNumberFormat="1" applyFont="1"/>
    <xf numFmtId="0" fontId="11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8501-43CA-407D-A2F9-BDF68A115065}">
  <dimension ref="A1:P150"/>
  <sheetViews>
    <sheetView tabSelected="1" topLeftCell="A20" zoomScale="115" zoomScaleNormal="115" zoomScaleSheetLayoutView="130" workbookViewId="0">
      <selection activeCell="J59" sqref="J59"/>
    </sheetView>
  </sheetViews>
  <sheetFormatPr baseColWidth="10" defaultRowHeight="12" x14ac:dyDescent="0.2"/>
  <cols>
    <col min="1" max="1" width="55.28515625" style="8" customWidth="1"/>
    <col min="2" max="4" width="7.140625" style="8" customWidth="1"/>
    <col min="5" max="5" width="6.7109375" style="8" customWidth="1"/>
    <col min="6" max="6" width="6.7109375" style="72" customWidth="1"/>
    <col min="7" max="9" width="6.7109375" style="8" customWidth="1"/>
    <col min="10" max="10" width="6.7109375" style="72" customWidth="1"/>
    <col min="11" max="11" width="7.140625" style="8" customWidth="1"/>
    <col min="12" max="12" width="0.140625" style="8" customWidth="1"/>
    <col min="13" max="13" width="8" style="8" customWidth="1"/>
    <col min="14" max="14" width="6.5703125" style="8" customWidth="1"/>
    <col min="15" max="15" width="3.28515625" style="8" customWidth="1"/>
    <col min="16" max="16384" width="11.42578125" style="8"/>
  </cols>
  <sheetData>
    <row r="1" spans="1:14" x14ac:dyDescent="0.2">
      <c r="A1" s="1" t="s">
        <v>0</v>
      </c>
      <c r="B1" s="1"/>
      <c r="C1" s="2"/>
      <c r="D1" s="1"/>
      <c r="E1" s="3"/>
      <c r="F1" s="3"/>
      <c r="G1" s="4"/>
      <c r="H1" s="4"/>
      <c r="I1" s="3"/>
      <c r="J1" s="3"/>
      <c r="K1" s="4"/>
      <c r="L1" s="5" t="s">
        <v>1</v>
      </c>
      <c r="M1" s="6"/>
      <c r="N1" s="7"/>
    </row>
    <row r="2" spans="1:14" ht="29.25" customHeight="1" x14ac:dyDescent="0.2">
      <c r="A2" s="9" t="s">
        <v>2</v>
      </c>
      <c r="B2" s="9" t="s">
        <v>3</v>
      </c>
      <c r="C2" s="10" t="s">
        <v>4</v>
      </c>
      <c r="D2" s="9" t="s">
        <v>5</v>
      </c>
      <c r="E2" s="9" t="s">
        <v>6</v>
      </c>
      <c r="F2" s="11" t="s">
        <v>7</v>
      </c>
      <c r="G2" s="12" t="s">
        <v>8</v>
      </c>
      <c r="H2" s="13" t="s">
        <v>9</v>
      </c>
      <c r="I2" s="9" t="s">
        <v>10</v>
      </c>
      <c r="J2" s="11" t="s">
        <v>11</v>
      </c>
      <c r="K2" s="13" t="s">
        <v>12</v>
      </c>
      <c r="L2" s="14" t="s">
        <v>13</v>
      </c>
      <c r="M2" s="13" t="s">
        <v>14</v>
      </c>
    </row>
    <row r="3" spans="1:14" x14ac:dyDescent="0.2">
      <c r="A3" s="15" t="s">
        <v>15</v>
      </c>
      <c r="B3" s="16">
        <v>25</v>
      </c>
      <c r="C3" s="17">
        <f>41+62</f>
        <v>103</v>
      </c>
      <c r="D3" s="18">
        <f t="shared" ref="D3:D47" si="0">B3+C3</f>
        <v>128</v>
      </c>
      <c r="E3" s="19">
        <v>8</v>
      </c>
      <c r="F3" s="20">
        <v>20</v>
      </c>
      <c r="G3" s="21">
        <v>39</v>
      </c>
      <c r="H3" s="16">
        <v>7</v>
      </c>
      <c r="I3" s="19">
        <v>0</v>
      </c>
      <c r="J3" s="19"/>
      <c r="K3" s="17">
        <f>E3+F3+G3+H3+I3+J3</f>
        <v>74</v>
      </c>
      <c r="L3" s="22">
        <f t="shared" ref="L3:L37" si="1">D3-K3</f>
        <v>54</v>
      </c>
      <c r="M3" s="16">
        <v>15</v>
      </c>
      <c r="N3" s="23"/>
    </row>
    <row r="4" spans="1:14" x14ac:dyDescent="0.2">
      <c r="A4" s="15" t="s">
        <v>16</v>
      </c>
      <c r="B4" s="16">
        <v>15</v>
      </c>
      <c r="C4" s="24">
        <v>28</v>
      </c>
      <c r="D4" s="18">
        <f t="shared" si="0"/>
        <v>43</v>
      </c>
      <c r="E4" s="19">
        <v>0</v>
      </c>
      <c r="F4" s="19">
        <v>0</v>
      </c>
      <c r="G4" s="21">
        <v>0</v>
      </c>
      <c r="H4" s="16">
        <v>0</v>
      </c>
      <c r="I4" s="19">
        <v>0</v>
      </c>
      <c r="J4" s="19"/>
      <c r="K4" s="17">
        <f>E4+F4+G4+H4+I4+J4</f>
        <v>0</v>
      </c>
      <c r="L4" s="22">
        <f t="shared" si="1"/>
        <v>43</v>
      </c>
      <c r="M4" s="16">
        <v>0</v>
      </c>
      <c r="N4" s="23"/>
    </row>
    <row r="5" spans="1:14" x14ac:dyDescent="0.2">
      <c r="A5" s="15" t="s">
        <v>17</v>
      </c>
      <c r="B5" s="16">
        <v>0</v>
      </c>
      <c r="C5" s="17">
        <v>30</v>
      </c>
      <c r="D5" s="18">
        <f t="shared" si="0"/>
        <v>30</v>
      </c>
      <c r="E5" s="19">
        <v>2</v>
      </c>
      <c r="F5" s="19">
        <v>0</v>
      </c>
      <c r="G5" s="21">
        <v>4</v>
      </c>
      <c r="H5" s="16">
        <v>2</v>
      </c>
      <c r="I5" s="19">
        <v>2</v>
      </c>
      <c r="J5" s="19"/>
      <c r="K5" s="17">
        <f>E5+F5+G5+H5+I5+J5</f>
        <v>10</v>
      </c>
      <c r="L5" s="22">
        <f t="shared" si="1"/>
        <v>20</v>
      </c>
      <c r="M5" s="16">
        <v>4</v>
      </c>
      <c r="N5" s="23"/>
    </row>
    <row r="6" spans="1:14" x14ac:dyDescent="0.2">
      <c r="A6" s="15" t="s">
        <v>18</v>
      </c>
      <c r="B6" s="16">
        <v>10</v>
      </c>
      <c r="C6" s="17">
        <v>4</v>
      </c>
      <c r="D6" s="18">
        <f t="shared" si="0"/>
        <v>14</v>
      </c>
      <c r="E6" s="19">
        <v>0</v>
      </c>
      <c r="F6" s="19">
        <v>0</v>
      </c>
      <c r="G6" s="21">
        <v>0</v>
      </c>
      <c r="H6" s="16">
        <v>0</v>
      </c>
      <c r="I6" s="19">
        <v>0</v>
      </c>
      <c r="J6" s="19"/>
      <c r="K6" s="17">
        <f>E6+F6+G6+H6+I6+J6</f>
        <v>0</v>
      </c>
      <c r="L6" s="22">
        <f t="shared" si="1"/>
        <v>14</v>
      </c>
      <c r="M6" s="16">
        <v>0</v>
      </c>
      <c r="N6" s="23"/>
    </row>
    <row r="7" spans="1:14" x14ac:dyDescent="0.2">
      <c r="A7" s="15" t="s">
        <v>19</v>
      </c>
      <c r="B7" s="16">
        <v>9</v>
      </c>
      <c r="C7" s="24">
        <v>11</v>
      </c>
      <c r="D7" s="18">
        <f t="shared" si="0"/>
        <v>20</v>
      </c>
      <c r="E7" s="19">
        <v>0</v>
      </c>
      <c r="F7" s="19">
        <v>0</v>
      </c>
      <c r="G7" s="21">
        <v>0</v>
      </c>
      <c r="H7" s="16">
        <v>6</v>
      </c>
      <c r="I7" s="19">
        <v>6</v>
      </c>
      <c r="J7" s="19"/>
      <c r="K7" s="17">
        <f>E7+F7+G7+H7+I7+J7</f>
        <v>12</v>
      </c>
      <c r="L7" s="22">
        <f t="shared" si="1"/>
        <v>8</v>
      </c>
      <c r="M7" s="16">
        <v>0</v>
      </c>
      <c r="N7" s="23"/>
    </row>
    <row r="8" spans="1:14" x14ac:dyDescent="0.2">
      <c r="A8" s="15" t="s">
        <v>20</v>
      </c>
      <c r="B8" s="16">
        <v>21</v>
      </c>
      <c r="C8" s="17"/>
      <c r="D8" s="18">
        <f>B8+C8</f>
        <v>21</v>
      </c>
      <c r="E8" s="19">
        <v>0</v>
      </c>
      <c r="F8" s="19">
        <v>2</v>
      </c>
      <c r="G8" s="21">
        <v>0</v>
      </c>
      <c r="H8" s="16">
        <v>0</v>
      </c>
      <c r="I8" s="19">
        <v>2</v>
      </c>
      <c r="J8" s="19"/>
      <c r="K8" s="17">
        <f t="shared" ref="K8:K54" si="2">E8+F8+G8+H8+I8+J8</f>
        <v>4</v>
      </c>
      <c r="L8" s="22">
        <f t="shared" si="1"/>
        <v>17</v>
      </c>
      <c r="M8" s="16">
        <v>16</v>
      </c>
      <c r="N8" s="23"/>
    </row>
    <row r="9" spans="1:14" x14ac:dyDescent="0.2">
      <c r="A9" s="25" t="s">
        <v>21</v>
      </c>
      <c r="B9" s="16">
        <v>4</v>
      </c>
      <c r="C9" s="17">
        <f>103+19</f>
        <v>122</v>
      </c>
      <c r="D9" s="18">
        <f>B9+C9</f>
        <v>126</v>
      </c>
      <c r="E9" s="19">
        <f>16+6</f>
        <v>22</v>
      </c>
      <c r="F9" s="19">
        <v>2</v>
      </c>
      <c r="G9" s="21">
        <v>27</v>
      </c>
      <c r="H9" s="16">
        <v>8</v>
      </c>
      <c r="I9" s="19">
        <v>8</v>
      </c>
      <c r="J9" s="19"/>
      <c r="K9" s="17">
        <f t="shared" si="2"/>
        <v>67</v>
      </c>
      <c r="L9" s="22">
        <f>D9-K9</f>
        <v>59</v>
      </c>
      <c r="M9" s="16">
        <f>34+19</f>
        <v>53</v>
      </c>
      <c r="N9" s="23"/>
    </row>
    <row r="10" spans="1:14" x14ac:dyDescent="0.2">
      <c r="A10" s="26" t="s">
        <v>22</v>
      </c>
      <c r="B10" s="16">
        <f>65+98+47</f>
        <v>210</v>
      </c>
      <c r="C10" s="17">
        <f>259+129</f>
        <v>388</v>
      </c>
      <c r="D10" s="18">
        <f t="shared" si="0"/>
        <v>598</v>
      </c>
      <c r="E10" s="19">
        <v>60</v>
      </c>
      <c r="F10" s="19">
        <f>27+12</f>
        <v>39</v>
      </c>
      <c r="G10" s="21">
        <v>107</v>
      </c>
      <c r="H10" s="16">
        <f>56+29+29</f>
        <v>114</v>
      </c>
      <c r="I10" s="19">
        <f>70+74</f>
        <v>144</v>
      </c>
      <c r="J10" s="19"/>
      <c r="K10" s="17">
        <f t="shared" si="2"/>
        <v>464</v>
      </c>
      <c r="L10" s="22">
        <f t="shared" si="1"/>
        <v>134</v>
      </c>
      <c r="M10" s="16">
        <f>92+53</f>
        <v>145</v>
      </c>
      <c r="N10" s="23"/>
    </row>
    <row r="11" spans="1:14" x14ac:dyDescent="0.2">
      <c r="A11" s="26" t="s">
        <v>23</v>
      </c>
      <c r="B11" s="16">
        <f>70+49</f>
        <v>119</v>
      </c>
      <c r="C11" s="17">
        <f>160+72</f>
        <v>232</v>
      </c>
      <c r="D11" s="18">
        <f t="shared" si="0"/>
        <v>351</v>
      </c>
      <c r="E11" s="19">
        <v>51</v>
      </c>
      <c r="F11" s="19">
        <v>17</v>
      </c>
      <c r="G11" s="21">
        <v>36</v>
      </c>
      <c r="H11" s="16">
        <f>42+18</f>
        <v>60</v>
      </c>
      <c r="I11" s="19">
        <f>34+5+18+18</f>
        <v>75</v>
      </c>
      <c r="J11" s="19"/>
      <c r="K11" s="17">
        <f t="shared" si="2"/>
        <v>239</v>
      </c>
      <c r="L11" s="22">
        <f t="shared" si="1"/>
        <v>112</v>
      </c>
      <c r="M11" s="16">
        <v>101</v>
      </c>
      <c r="N11" s="23"/>
    </row>
    <row r="12" spans="1:14" x14ac:dyDescent="0.2">
      <c r="A12" s="26" t="s">
        <v>24</v>
      </c>
      <c r="B12" s="16">
        <f>28+31</f>
        <v>59</v>
      </c>
      <c r="C12" s="17">
        <f>77+78</f>
        <v>155</v>
      </c>
      <c r="D12" s="18">
        <f>B12+C12</f>
        <v>214</v>
      </c>
      <c r="E12" s="19">
        <v>16</v>
      </c>
      <c r="F12" s="19">
        <v>6</v>
      </c>
      <c r="G12" s="21">
        <f>9+19</f>
        <v>28</v>
      </c>
      <c r="H12" s="16">
        <v>32</v>
      </c>
      <c r="I12" s="19">
        <f>21+16</f>
        <v>37</v>
      </c>
      <c r="J12" s="19"/>
      <c r="K12" s="17">
        <f t="shared" si="2"/>
        <v>119</v>
      </c>
      <c r="L12" s="22">
        <f t="shared" si="1"/>
        <v>95</v>
      </c>
      <c r="M12" s="16">
        <v>59</v>
      </c>
      <c r="N12" s="23"/>
    </row>
    <row r="13" spans="1:14" x14ac:dyDescent="0.2">
      <c r="A13" s="26" t="s">
        <v>25</v>
      </c>
      <c r="B13" s="16">
        <v>16</v>
      </c>
      <c r="C13" s="17">
        <f>46+33</f>
        <v>79</v>
      </c>
      <c r="D13" s="18">
        <f>B13+C13</f>
        <v>95</v>
      </c>
      <c r="E13" s="19">
        <v>8</v>
      </c>
      <c r="F13" s="19">
        <v>0</v>
      </c>
      <c r="G13" s="21">
        <v>14</v>
      </c>
      <c r="H13" s="16">
        <v>9</v>
      </c>
      <c r="I13" s="19">
        <f>12+7</f>
        <v>19</v>
      </c>
      <c r="J13" s="19"/>
      <c r="K13" s="17">
        <f t="shared" si="2"/>
        <v>50</v>
      </c>
      <c r="L13" s="22">
        <f t="shared" si="1"/>
        <v>45</v>
      </c>
      <c r="M13" s="16">
        <v>30</v>
      </c>
      <c r="N13" s="23"/>
    </row>
    <row r="14" spans="1:14" x14ac:dyDescent="0.2">
      <c r="A14" s="26" t="s">
        <v>26</v>
      </c>
      <c r="B14" s="16">
        <v>35</v>
      </c>
      <c r="C14" s="17">
        <f>12+9</f>
        <v>21</v>
      </c>
      <c r="D14" s="18">
        <f t="shared" si="0"/>
        <v>56</v>
      </c>
      <c r="E14" s="19">
        <v>0</v>
      </c>
      <c r="F14" s="19">
        <v>3</v>
      </c>
      <c r="G14" s="21">
        <v>8</v>
      </c>
      <c r="H14" s="16">
        <v>11</v>
      </c>
      <c r="I14" s="19">
        <f>2+12+3</f>
        <v>17</v>
      </c>
      <c r="J14" s="19"/>
      <c r="K14" s="17">
        <f t="shared" si="2"/>
        <v>39</v>
      </c>
      <c r="L14" s="22">
        <f t="shared" si="1"/>
        <v>17</v>
      </c>
      <c r="M14" s="16">
        <v>3</v>
      </c>
      <c r="N14" s="23"/>
    </row>
    <row r="15" spans="1:14" x14ac:dyDescent="0.2">
      <c r="A15" s="26" t="s">
        <v>27</v>
      </c>
      <c r="B15" s="16">
        <v>22</v>
      </c>
      <c r="C15" s="17">
        <v>34</v>
      </c>
      <c r="D15" s="18">
        <f t="shared" si="0"/>
        <v>56</v>
      </c>
      <c r="E15" s="19">
        <v>3</v>
      </c>
      <c r="F15" s="19">
        <v>0</v>
      </c>
      <c r="G15" s="21">
        <v>7</v>
      </c>
      <c r="H15" s="16">
        <v>3</v>
      </c>
      <c r="I15" s="19">
        <v>5</v>
      </c>
      <c r="J15" s="19"/>
      <c r="K15" s="17">
        <f t="shared" si="2"/>
        <v>18</v>
      </c>
      <c r="L15" s="22">
        <f t="shared" si="1"/>
        <v>38</v>
      </c>
      <c r="M15" s="16">
        <v>9</v>
      </c>
      <c r="N15" s="23"/>
    </row>
    <row r="16" spans="1:14" x14ac:dyDescent="0.2">
      <c r="A16" s="26" t="s">
        <v>28</v>
      </c>
      <c r="B16" s="16">
        <v>14</v>
      </c>
      <c r="C16" s="17">
        <v>23</v>
      </c>
      <c r="D16" s="18">
        <f t="shared" si="0"/>
        <v>37</v>
      </c>
      <c r="E16" s="19">
        <v>0</v>
      </c>
      <c r="F16" s="19">
        <v>0</v>
      </c>
      <c r="G16" s="21">
        <v>10</v>
      </c>
      <c r="H16" s="16">
        <v>1</v>
      </c>
      <c r="I16" s="19">
        <v>0</v>
      </c>
      <c r="J16" s="19"/>
      <c r="K16" s="17">
        <f t="shared" si="2"/>
        <v>11</v>
      </c>
      <c r="L16" s="22">
        <f t="shared" si="1"/>
        <v>26</v>
      </c>
      <c r="M16" s="16">
        <v>25</v>
      </c>
      <c r="N16" s="23"/>
    </row>
    <row r="17" spans="1:14" x14ac:dyDescent="0.2">
      <c r="A17" s="26" t="s">
        <v>29</v>
      </c>
      <c r="B17" s="16">
        <f>28+11</f>
        <v>39</v>
      </c>
      <c r="C17" s="17">
        <v>48</v>
      </c>
      <c r="D17" s="18">
        <f t="shared" si="0"/>
        <v>87</v>
      </c>
      <c r="E17" s="19">
        <v>5</v>
      </c>
      <c r="F17" s="19">
        <v>1</v>
      </c>
      <c r="G17" s="21">
        <v>17</v>
      </c>
      <c r="H17" s="16">
        <v>7</v>
      </c>
      <c r="I17" s="19">
        <f>8+9</f>
        <v>17</v>
      </c>
      <c r="J17" s="19"/>
      <c r="K17" s="17">
        <f t="shared" si="2"/>
        <v>47</v>
      </c>
      <c r="L17" s="22">
        <f t="shared" si="1"/>
        <v>40</v>
      </c>
      <c r="M17" s="16">
        <f>48+11</f>
        <v>59</v>
      </c>
      <c r="N17" s="23"/>
    </row>
    <row r="18" spans="1:14" x14ac:dyDescent="0.2">
      <c r="A18" s="26" t="s">
        <v>30</v>
      </c>
      <c r="B18" s="16">
        <v>20</v>
      </c>
      <c r="C18" s="17">
        <f>46+65</f>
        <v>111</v>
      </c>
      <c r="D18" s="18">
        <f t="shared" si="0"/>
        <v>131</v>
      </c>
      <c r="E18" s="19">
        <v>17</v>
      </c>
      <c r="F18" s="19">
        <v>3</v>
      </c>
      <c r="G18" s="21">
        <v>15</v>
      </c>
      <c r="H18" s="16">
        <v>25</v>
      </c>
      <c r="I18" s="19">
        <f>29+9</f>
        <v>38</v>
      </c>
      <c r="J18" s="19"/>
      <c r="K18" s="17">
        <f t="shared" si="2"/>
        <v>98</v>
      </c>
      <c r="L18" s="22">
        <f t="shared" si="1"/>
        <v>33</v>
      </c>
      <c r="M18" s="16">
        <v>69</v>
      </c>
      <c r="N18" s="23"/>
    </row>
    <row r="19" spans="1:14" x14ac:dyDescent="0.2">
      <c r="A19" s="26" t="s">
        <v>31</v>
      </c>
      <c r="B19" s="16">
        <v>0</v>
      </c>
      <c r="C19" s="17"/>
      <c r="D19" s="18">
        <f t="shared" si="0"/>
        <v>0</v>
      </c>
      <c r="E19" s="19">
        <v>0</v>
      </c>
      <c r="F19" s="19">
        <v>0</v>
      </c>
      <c r="G19" s="21">
        <v>0</v>
      </c>
      <c r="H19" s="16">
        <v>0</v>
      </c>
      <c r="I19" s="19">
        <v>0</v>
      </c>
      <c r="J19" s="19"/>
      <c r="K19" s="17">
        <f t="shared" si="2"/>
        <v>0</v>
      </c>
      <c r="L19" s="22">
        <f t="shared" si="1"/>
        <v>0</v>
      </c>
      <c r="M19" s="16">
        <v>0</v>
      </c>
      <c r="N19" s="23"/>
    </row>
    <row r="20" spans="1:14" x14ac:dyDescent="0.2">
      <c r="A20" s="26" t="s">
        <v>32</v>
      </c>
      <c r="B20" s="16">
        <v>0</v>
      </c>
      <c r="C20" s="17"/>
      <c r="D20" s="18">
        <f>B20+C20</f>
        <v>0</v>
      </c>
      <c r="E20" s="19">
        <v>0</v>
      </c>
      <c r="F20" s="19">
        <v>0</v>
      </c>
      <c r="G20" s="21">
        <v>0</v>
      </c>
      <c r="H20" s="16">
        <v>0</v>
      </c>
      <c r="I20" s="19">
        <v>0</v>
      </c>
      <c r="J20" s="19"/>
      <c r="K20" s="17">
        <f t="shared" si="2"/>
        <v>0</v>
      </c>
      <c r="L20" s="22">
        <f t="shared" si="1"/>
        <v>0</v>
      </c>
      <c r="M20" s="16">
        <v>0</v>
      </c>
      <c r="N20" s="23"/>
    </row>
    <row r="21" spans="1:14" x14ac:dyDescent="0.2">
      <c r="A21" s="26" t="s">
        <v>33</v>
      </c>
      <c r="B21" s="16">
        <v>23</v>
      </c>
      <c r="C21" s="17">
        <f>147+36</f>
        <v>183</v>
      </c>
      <c r="D21" s="18">
        <f t="shared" si="0"/>
        <v>206</v>
      </c>
      <c r="E21" s="19">
        <v>19</v>
      </c>
      <c r="F21" s="19">
        <v>6</v>
      </c>
      <c r="G21" s="21">
        <v>26</v>
      </c>
      <c r="H21" s="16">
        <f>17+6</f>
        <v>23</v>
      </c>
      <c r="I21" s="19">
        <v>26</v>
      </c>
      <c r="J21" s="19"/>
      <c r="K21" s="17">
        <f t="shared" si="2"/>
        <v>100</v>
      </c>
      <c r="L21" s="22">
        <f t="shared" si="1"/>
        <v>106</v>
      </c>
      <c r="M21" s="16">
        <v>65</v>
      </c>
      <c r="N21" s="23"/>
    </row>
    <row r="22" spans="1:14" x14ac:dyDescent="0.2">
      <c r="A22" s="26" t="s">
        <v>34</v>
      </c>
      <c r="B22" s="16">
        <v>0</v>
      </c>
      <c r="C22" s="17"/>
      <c r="D22" s="18">
        <f>B22+C22</f>
        <v>0</v>
      </c>
      <c r="E22" s="19">
        <v>0</v>
      </c>
      <c r="F22" s="19">
        <v>0</v>
      </c>
      <c r="G22" s="21">
        <v>0</v>
      </c>
      <c r="H22" s="16">
        <v>0</v>
      </c>
      <c r="I22" s="19">
        <v>0</v>
      </c>
      <c r="J22" s="19"/>
      <c r="K22" s="17">
        <f t="shared" si="2"/>
        <v>0</v>
      </c>
      <c r="L22" s="22">
        <f t="shared" si="1"/>
        <v>0</v>
      </c>
      <c r="M22" s="16">
        <v>0</v>
      </c>
      <c r="N22" s="23"/>
    </row>
    <row r="23" spans="1:14" x14ac:dyDescent="0.2">
      <c r="A23" s="27" t="s">
        <v>35</v>
      </c>
      <c r="B23" s="16">
        <f>19+7</f>
        <v>26</v>
      </c>
      <c r="C23" s="17">
        <v>44</v>
      </c>
      <c r="D23" s="28">
        <f>B23+C23</f>
        <v>70</v>
      </c>
      <c r="E23" s="19">
        <v>2</v>
      </c>
      <c r="F23" s="19">
        <f>5+8</f>
        <v>13</v>
      </c>
      <c r="G23" s="21">
        <v>3</v>
      </c>
      <c r="H23" s="16">
        <v>11</v>
      </c>
      <c r="I23" s="19">
        <v>3</v>
      </c>
      <c r="J23" s="19"/>
      <c r="K23" s="17">
        <f t="shared" si="2"/>
        <v>32</v>
      </c>
      <c r="L23" s="22">
        <f t="shared" si="1"/>
        <v>38</v>
      </c>
      <c r="M23" s="16">
        <v>13</v>
      </c>
      <c r="N23" s="23"/>
    </row>
    <row r="24" spans="1:14" x14ac:dyDescent="0.2">
      <c r="A24" s="27" t="s">
        <v>36</v>
      </c>
      <c r="B24" s="16">
        <v>0</v>
      </c>
      <c r="C24" s="17"/>
      <c r="D24" s="28">
        <f>B24+C24</f>
        <v>0</v>
      </c>
      <c r="E24" s="19">
        <v>0</v>
      </c>
      <c r="F24" s="19">
        <v>0</v>
      </c>
      <c r="G24" s="21">
        <v>0</v>
      </c>
      <c r="H24" s="16">
        <v>0</v>
      </c>
      <c r="I24" s="19">
        <v>0</v>
      </c>
      <c r="J24" s="19"/>
      <c r="K24" s="17">
        <f t="shared" si="2"/>
        <v>0</v>
      </c>
      <c r="L24" s="22">
        <f t="shared" si="1"/>
        <v>0</v>
      </c>
      <c r="M24" s="16">
        <v>0</v>
      </c>
      <c r="N24" s="23"/>
    </row>
    <row r="25" spans="1:14" x14ac:dyDescent="0.2">
      <c r="A25" s="29" t="s">
        <v>37</v>
      </c>
      <c r="B25" s="16">
        <v>14</v>
      </c>
      <c r="C25" s="17">
        <f>42+69</f>
        <v>111</v>
      </c>
      <c r="D25" s="28">
        <f t="shared" si="0"/>
        <v>125</v>
      </c>
      <c r="E25" s="19">
        <v>10</v>
      </c>
      <c r="F25" s="19">
        <v>1</v>
      </c>
      <c r="G25" s="21">
        <v>7</v>
      </c>
      <c r="H25" s="16">
        <v>23</v>
      </c>
      <c r="I25" s="19">
        <v>1</v>
      </c>
      <c r="J25" s="19"/>
      <c r="K25" s="17">
        <f t="shared" si="2"/>
        <v>42</v>
      </c>
      <c r="L25" s="22">
        <f t="shared" si="1"/>
        <v>83</v>
      </c>
      <c r="M25" s="16">
        <v>0</v>
      </c>
      <c r="N25" s="23"/>
    </row>
    <row r="26" spans="1:14" x14ac:dyDescent="0.2">
      <c r="A26" s="29" t="s">
        <v>38</v>
      </c>
      <c r="B26" s="30">
        <v>16</v>
      </c>
      <c r="C26" s="17">
        <v>33</v>
      </c>
      <c r="D26" s="28">
        <f t="shared" si="0"/>
        <v>49</v>
      </c>
      <c r="E26" s="19">
        <v>6</v>
      </c>
      <c r="F26" s="19">
        <v>2</v>
      </c>
      <c r="G26" s="21">
        <v>2</v>
      </c>
      <c r="H26" s="16">
        <v>2</v>
      </c>
      <c r="I26" s="19">
        <v>1</v>
      </c>
      <c r="J26" s="19"/>
      <c r="K26" s="17">
        <f t="shared" si="2"/>
        <v>13</v>
      </c>
      <c r="L26" s="22">
        <f t="shared" si="1"/>
        <v>36</v>
      </c>
      <c r="M26" s="30">
        <v>18</v>
      </c>
      <c r="N26" s="23"/>
    </row>
    <row r="27" spans="1:14" x14ac:dyDescent="0.2">
      <c r="A27" s="29" t="s">
        <v>39</v>
      </c>
      <c r="B27" s="16">
        <v>80</v>
      </c>
      <c r="C27" s="17">
        <f>72+104</f>
        <v>176</v>
      </c>
      <c r="D27" s="28">
        <f t="shared" si="0"/>
        <v>256</v>
      </c>
      <c r="E27" s="19">
        <f>15+6</f>
        <v>21</v>
      </c>
      <c r="F27" s="19">
        <v>0</v>
      </c>
      <c r="G27" s="21">
        <v>27</v>
      </c>
      <c r="H27" s="16">
        <f>4+6+15+9</f>
        <v>34</v>
      </c>
      <c r="I27" s="19">
        <v>19</v>
      </c>
      <c r="J27" s="19"/>
      <c r="K27" s="17">
        <f t="shared" si="2"/>
        <v>101</v>
      </c>
      <c r="L27" s="22">
        <f t="shared" si="1"/>
        <v>155</v>
      </c>
      <c r="M27" s="16">
        <v>55</v>
      </c>
      <c r="N27" s="23"/>
    </row>
    <row r="28" spans="1:14" x14ac:dyDescent="0.2">
      <c r="A28" s="31" t="s">
        <v>40</v>
      </c>
      <c r="B28" s="16">
        <f>88+63</f>
        <v>151</v>
      </c>
      <c r="C28" s="17">
        <f>90+76</f>
        <v>166</v>
      </c>
      <c r="D28" s="28">
        <f>B28+C28</f>
        <v>317</v>
      </c>
      <c r="E28" s="19">
        <f>16+6</f>
        <v>22</v>
      </c>
      <c r="F28" s="19">
        <v>12</v>
      </c>
      <c r="G28" s="21">
        <v>24</v>
      </c>
      <c r="H28" s="16">
        <v>39</v>
      </c>
      <c r="I28" s="19">
        <f>14+1+2</f>
        <v>17</v>
      </c>
      <c r="J28" s="19"/>
      <c r="K28" s="17">
        <f t="shared" si="2"/>
        <v>114</v>
      </c>
      <c r="L28" s="22">
        <f>D28-K28</f>
        <v>203</v>
      </c>
      <c r="M28" s="16">
        <v>30</v>
      </c>
      <c r="N28" s="23"/>
    </row>
    <row r="29" spans="1:14" x14ac:dyDescent="0.2">
      <c r="A29" s="31" t="s">
        <v>41</v>
      </c>
      <c r="B29" s="16">
        <v>7</v>
      </c>
      <c r="C29" s="17"/>
      <c r="D29" s="28">
        <f>B29+C29</f>
        <v>7</v>
      </c>
      <c r="E29" s="19">
        <v>9</v>
      </c>
      <c r="F29" s="19">
        <v>0</v>
      </c>
      <c r="G29" s="21">
        <v>8</v>
      </c>
      <c r="H29" s="16">
        <v>3</v>
      </c>
      <c r="I29" s="19">
        <v>12</v>
      </c>
      <c r="J29" s="19"/>
      <c r="K29" s="17">
        <f t="shared" si="2"/>
        <v>32</v>
      </c>
      <c r="L29" s="22">
        <f>D29-K29</f>
        <v>-25</v>
      </c>
      <c r="M29" s="16">
        <v>0</v>
      </c>
      <c r="N29" s="23"/>
    </row>
    <row r="30" spans="1:14" x14ac:dyDescent="0.2">
      <c r="A30" s="31" t="s">
        <v>42</v>
      </c>
      <c r="B30" s="16">
        <f>35+22+12</f>
        <v>69</v>
      </c>
      <c r="C30" s="17">
        <f>129+8</f>
        <v>137</v>
      </c>
      <c r="D30" s="28">
        <f t="shared" si="0"/>
        <v>206</v>
      </c>
      <c r="E30" s="19">
        <v>30</v>
      </c>
      <c r="F30" s="19">
        <v>2</v>
      </c>
      <c r="G30" s="21">
        <v>39</v>
      </c>
      <c r="H30" s="16">
        <f>9+3+26+4</f>
        <v>42</v>
      </c>
      <c r="I30" s="19">
        <f>6+28</f>
        <v>34</v>
      </c>
      <c r="J30" s="19"/>
      <c r="K30" s="17">
        <f t="shared" si="2"/>
        <v>147</v>
      </c>
      <c r="L30" s="22">
        <f t="shared" si="1"/>
        <v>59</v>
      </c>
      <c r="M30" s="16">
        <f>32+115+14</f>
        <v>161</v>
      </c>
      <c r="N30" s="23"/>
    </row>
    <row r="31" spans="1:14" x14ac:dyDescent="0.2">
      <c r="A31" s="31" t="s">
        <v>43</v>
      </c>
      <c r="B31" s="16">
        <v>61</v>
      </c>
      <c r="C31" s="17">
        <f>28+22</f>
        <v>50</v>
      </c>
      <c r="D31" s="28">
        <f t="shared" si="0"/>
        <v>111</v>
      </c>
      <c r="E31" s="19">
        <v>16</v>
      </c>
      <c r="F31" s="19">
        <v>0</v>
      </c>
      <c r="G31" s="21">
        <v>6</v>
      </c>
      <c r="H31" s="16">
        <v>12</v>
      </c>
      <c r="I31" s="19">
        <f>7+22</f>
        <v>29</v>
      </c>
      <c r="J31" s="19"/>
      <c r="K31" s="17">
        <f t="shared" si="2"/>
        <v>63</v>
      </c>
      <c r="L31" s="22">
        <f t="shared" si="1"/>
        <v>48</v>
      </c>
      <c r="M31" s="16">
        <f>47+51</f>
        <v>98</v>
      </c>
      <c r="N31" s="23"/>
    </row>
    <row r="32" spans="1:14" x14ac:dyDescent="0.2">
      <c r="A32" s="31" t="s">
        <v>44</v>
      </c>
      <c r="B32" s="16">
        <v>29</v>
      </c>
      <c r="C32" s="17">
        <f>14+30</f>
        <v>44</v>
      </c>
      <c r="D32" s="28">
        <f t="shared" si="0"/>
        <v>73</v>
      </c>
      <c r="E32" s="19">
        <v>1</v>
      </c>
      <c r="F32" s="19">
        <v>0</v>
      </c>
      <c r="G32" s="21">
        <v>2</v>
      </c>
      <c r="H32" s="16">
        <v>19</v>
      </c>
      <c r="I32" s="19">
        <v>16</v>
      </c>
      <c r="J32" s="19"/>
      <c r="K32" s="17">
        <f t="shared" si="2"/>
        <v>38</v>
      </c>
      <c r="L32" s="22">
        <f t="shared" si="1"/>
        <v>35</v>
      </c>
      <c r="M32" s="16">
        <v>14</v>
      </c>
      <c r="N32" s="23"/>
    </row>
    <row r="33" spans="1:14" x14ac:dyDescent="0.2">
      <c r="A33" s="31" t="s">
        <v>45</v>
      </c>
      <c r="B33" s="16">
        <v>0</v>
      </c>
      <c r="C33" s="17"/>
      <c r="D33" s="28">
        <f t="shared" si="0"/>
        <v>0</v>
      </c>
      <c r="E33" s="19">
        <v>0</v>
      </c>
      <c r="F33" s="19">
        <v>0</v>
      </c>
      <c r="G33" s="21">
        <v>0</v>
      </c>
      <c r="H33" s="16">
        <v>0</v>
      </c>
      <c r="I33" s="19">
        <v>0</v>
      </c>
      <c r="J33" s="19"/>
      <c r="K33" s="17">
        <f t="shared" si="2"/>
        <v>0</v>
      </c>
      <c r="L33" s="22">
        <f t="shared" si="1"/>
        <v>0</v>
      </c>
      <c r="M33" s="16">
        <v>0</v>
      </c>
      <c r="N33" s="23"/>
    </row>
    <row r="34" spans="1:14" x14ac:dyDescent="0.2">
      <c r="A34" s="32" t="s">
        <v>46</v>
      </c>
      <c r="B34" s="16">
        <v>0</v>
      </c>
      <c r="C34" s="17">
        <v>45</v>
      </c>
      <c r="D34" s="28">
        <f t="shared" si="0"/>
        <v>45</v>
      </c>
      <c r="E34" s="19">
        <v>6</v>
      </c>
      <c r="F34" s="19">
        <v>0</v>
      </c>
      <c r="G34" s="21">
        <v>6</v>
      </c>
      <c r="H34" s="16">
        <v>6</v>
      </c>
      <c r="I34" s="19">
        <v>27</v>
      </c>
      <c r="J34" s="19"/>
      <c r="K34" s="17">
        <f t="shared" si="2"/>
        <v>45</v>
      </c>
      <c r="L34" s="22">
        <f t="shared" si="1"/>
        <v>0</v>
      </c>
      <c r="M34" s="16">
        <v>0</v>
      </c>
      <c r="N34" s="23"/>
    </row>
    <row r="35" spans="1:14" x14ac:dyDescent="0.2">
      <c r="A35" s="32" t="s">
        <v>47</v>
      </c>
      <c r="B35" s="16">
        <v>0</v>
      </c>
      <c r="C35" s="17">
        <v>21</v>
      </c>
      <c r="D35" s="28">
        <f t="shared" si="0"/>
        <v>21</v>
      </c>
      <c r="E35" s="19">
        <v>3</v>
      </c>
      <c r="F35" s="19">
        <v>3</v>
      </c>
      <c r="G35" s="21">
        <v>6</v>
      </c>
      <c r="H35" s="16">
        <v>6</v>
      </c>
      <c r="I35" s="19">
        <v>3</v>
      </c>
      <c r="J35" s="19"/>
      <c r="K35" s="17">
        <f t="shared" si="2"/>
        <v>21</v>
      </c>
      <c r="L35" s="22">
        <f t="shared" si="1"/>
        <v>0</v>
      </c>
      <c r="M35" s="16">
        <v>0</v>
      </c>
      <c r="N35" s="23"/>
    </row>
    <row r="36" spans="1:14" x14ac:dyDescent="0.2">
      <c r="A36" s="32" t="s">
        <v>48</v>
      </c>
      <c r="B36" s="16">
        <v>0</v>
      </c>
      <c r="C36" s="17">
        <v>45</v>
      </c>
      <c r="D36" s="28">
        <f t="shared" si="0"/>
        <v>45</v>
      </c>
      <c r="E36" s="19">
        <v>0</v>
      </c>
      <c r="F36" s="19">
        <v>0</v>
      </c>
      <c r="G36" s="21">
        <v>33</v>
      </c>
      <c r="H36" s="16">
        <v>9</v>
      </c>
      <c r="I36" s="19">
        <v>3</v>
      </c>
      <c r="J36" s="19"/>
      <c r="K36" s="17">
        <f t="shared" si="2"/>
        <v>45</v>
      </c>
      <c r="L36" s="22">
        <f t="shared" si="1"/>
        <v>0</v>
      </c>
      <c r="M36" s="16">
        <v>0</v>
      </c>
      <c r="N36" s="23"/>
    </row>
    <row r="37" spans="1:14" x14ac:dyDescent="0.2">
      <c r="A37" s="32" t="s">
        <v>49</v>
      </c>
      <c r="B37" s="16">
        <v>0</v>
      </c>
      <c r="C37" s="17">
        <v>27</v>
      </c>
      <c r="D37" s="28">
        <f t="shared" si="0"/>
        <v>27</v>
      </c>
      <c r="E37" s="19">
        <v>3</v>
      </c>
      <c r="F37" s="19">
        <v>0</v>
      </c>
      <c r="G37" s="21">
        <v>18</v>
      </c>
      <c r="H37" s="16">
        <v>3</v>
      </c>
      <c r="I37" s="19">
        <v>3</v>
      </c>
      <c r="J37" s="19"/>
      <c r="K37" s="17">
        <f t="shared" si="2"/>
        <v>27</v>
      </c>
      <c r="L37" s="22">
        <f t="shared" si="1"/>
        <v>0</v>
      </c>
      <c r="M37" s="16">
        <v>0</v>
      </c>
      <c r="N37" s="23"/>
    </row>
    <row r="38" spans="1:14" x14ac:dyDescent="0.2">
      <c r="A38" s="31" t="s">
        <v>50</v>
      </c>
      <c r="B38" s="16">
        <v>0</v>
      </c>
      <c r="C38" s="17"/>
      <c r="D38" s="28">
        <f>B38+C38</f>
        <v>0</v>
      </c>
      <c r="E38" s="19">
        <v>78</v>
      </c>
      <c r="F38" s="19">
        <v>4</v>
      </c>
      <c r="G38" s="21">
        <f>14+88</f>
        <v>102</v>
      </c>
      <c r="H38" s="16">
        <f>145+10</f>
        <v>155</v>
      </c>
      <c r="I38" s="19">
        <f>182+28</f>
        <v>210</v>
      </c>
      <c r="J38" s="19"/>
      <c r="K38" s="17">
        <f t="shared" si="2"/>
        <v>549</v>
      </c>
      <c r="L38" s="22">
        <f>D38-K38</f>
        <v>-549</v>
      </c>
      <c r="M38" s="16">
        <v>0</v>
      </c>
      <c r="N38" s="23"/>
    </row>
    <row r="39" spans="1:14" x14ac:dyDescent="0.2">
      <c r="A39" s="31" t="s">
        <v>51</v>
      </c>
      <c r="B39" s="16">
        <v>0</v>
      </c>
      <c r="C39" s="17"/>
      <c r="D39" s="28">
        <f>B39+C39</f>
        <v>0</v>
      </c>
      <c r="E39" s="19">
        <v>0</v>
      </c>
      <c r="F39" s="19">
        <v>0</v>
      </c>
      <c r="G39" s="21">
        <v>0</v>
      </c>
      <c r="H39" s="16">
        <v>0</v>
      </c>
      <c r="I39" s="19">
        <v>0</v>
      </c>
      <c r="J39" s="19"/>
      <c r="K39" s="17">
        <f t="shared" si="2"/>
        <v>0</v>
      </c>
      <c r="L39" s="22">
        <f t="shared" ref="L39:L50" si="3">D39-K39</f>
        <v>0</v>
      </c>
      <c r="M39" s="16">
        <v>0</v>
      </c>
      <c r="N39" s="23"/>
    </row>
    <row r="40" spans="1:14" x14ac:dyDescent="0.2">
      <c r="A40" s="31" t="s">
        <v>52</v>
      </c>
      <c r="B40" s="16">
        <v>0</v>
      </c>
      <c r="C40" s="17"/>
      <c r="D40" s="28">
        <f>B40+C40</f>
        <v>0</v>
      </c>
      <c r="E40" s="19">
        <v>8</v>
      </c>
      <c r="F40" s="19">
        <v>0</v>
      </c>
      <c r="G40" s="21">
        <v>2</v>
      </c>
      <c r="H40" s="16">
        <v>0</v>
      </c>
      <c r="I40" s="19">
        <v>8</v>
      </c>
      <c r="J40" s="19"/>
      <c r="K40" s="17">
        <f t="shared" si="2"/>
        <v>18</v>
      </c>
      <c r="L40" s="22">
        <f t="shared" si="3"/>
        <v>-18</v>
      </c>
      <c r="M40" s="16">
        <v>0</v>
      </c>
      <c r="N40" s="23"/>
    </row>
    <row r="41" spans="1:14" x14ac:dyDescent="0.2">
      <c r="A41" s="33" t="s">
        <v>53</v>
      </c>
      <c r="B41" s="16">
        <v>0</v>
      </c>
      <c r="C41" s="17"/>
      <c r="D41" s="28">
        <f t="shared" si="0"/>
        <v>0</v>
      </c>
      <c r="E41" s="19">
        <v>0</v>
      </c>
      <c r="F41" s="19">
        <v>0</v>
      </c>
      <c r="G41" s="21">
        <v>0</v>
      </c>
      <c r="H41" s="16">
        <v>0</v>
      </c>
      <c r="I41" s="19">
        <v>0</v>
      </c>
      <c r="J41" s="19"/>
      <c r="K41" s="17">
        <f>E41+F41+G41+H41+I41+J41</f>
        <v>0</v>
      </c>
      <c r="L41" s="22">
        <f t="shared" si="3"/>
        <v>0</v>
      </c>
      <c r="M41" s="16">
        <v>0</v>
      </c>
      <c r="N41" s="23"/>
    </row>
    <row r="42" spans="1:14" x14ac:dyDescent="0.2">
      <c r="A42" s="33" t="s">
        <v>54</v>
      </c>
      <c r="B42" s="16">
        <v>0</v>
      </c>
      <c r="C42" s="17"/>
      <c r="D42" s="28">
        <f t="shared" si="0"/>
        <v>0</v>
      </c>
      <c r="E42" s="19">
        <v>0</v>
      </c>
      <c r="F42" s="19">
        <v>0</v>
      </c>
      <c r="G42" s="21">
        <v>0</v>
      </c>
      <c r="H42" s="16">
        <v>0</v>
      </c>
      <c r="I42" s="19">
        <v>0</v>
      </c>
      <c r="J42" s="19"/>
      <c r="K42" s="17">
        <f>E42+F42+G42+H42+I42+J42</f>
        <v>0</v>
      </c>
      <c r="L42" s="22">
        <f t="shared" si="3"/>
        <v>0</v>
      </c>
      <c r="M42" s="16">
        <v>0</v>
      </c>
      <c r="N42" s="23"/>
    </row>
    <row r="43" spans="1:14" x14ac:dyDescent="0.2">
      <c r="A43" s="33" t="s">
        <v>55</v>
      </c>
      <c r="B43" s="16">
        <v>0</v>
      </c>
      <c r="C43" s="17"/>
      <c r="D43" s="28">
        <f t="shared" si="0"/>
        <v>0</v>
      </c>
      <c r="E43" s="19">
        <v>0</v>
      </c>
      <c r="F43" s="19">
        <v>0</v>
      </c>
      <c r="G43" s="21">
        <v>0</v>
      </c>
      <c r="H43" s="16">
        <v>0</v>
      </c>
      <c r="I43" s="19">
        <v>0</v>
      </c>
      <c r="J43" s="19"/>
      <c r="K43" s="17">
        <f t="shared" si="2"/>
        <v>0</v>
      </c>
      <c r="L43" s="22">
        <f t="shared" si="3"/>
        <v>0</v>
      </c>
      <c r="M43" s="16">
        <v>0</v>
      </c>
      <c r="N43" s="23"/>
    </row>
    <row r="44" spans="1:14" x14ac:dyDescent="0.2">
      <c r="A44" s="34" t="s">
        <v>56</v>
      </c>
      <c r="B44" s="16">
        <v>35</v>
      </c>
      <c r="C44" s="17">
        <v>10</v>
      </c>
      <c r="D44" s="28">
        <f>B44+C44</f>
        <v>45</v>
      </c>
      <c r="E44" s="19">
        <v>6</v>
      </c>
      <c r="F44" s="19">
        <v>0</v>
      </c>
      <c r="G44" s="21">
        <v>10</v>
      </c>
      <c r="H44" s="16">
        <v>3</v>
      </c>
      <c r="I44" s="19">
        <v>0</v>
      </c>
      <c r="J44" s="19"/>
      <c r="K44" s="17">
        <f t="shared" si="2"/>
        <v>19</v>
      </c>
      <c r="L44" s="22">
        <f t="shared" si="3"/>
        <v>26</v>
      </c>
      <c r="M44" s="16">
        <v>6</v>
      </c>
      <c r="N44" s="23"/>
    </row>
    <row r="45" spans="1:14" x14ac:dyDescent="0.2">
      <c r="A45" s="34" t="s">
        <v>57</v>
      </c>
      <c r="B45" s="16">
        <v>0</v>
      </c>
      <c r="C45" s="17">
        <v>12</v>
      </c>
      <c r="D45" s="28">
        <f>B45+C45</f>
        <v>12</v>
      </c>
      <c r="E45" s="19">
        <v>0</v>
      </c>
      <c r="F45" s="19">
        <v>1</v>
      </c>
      <c r="G45" s="21">
        <v>0</v>
      </c>
      <c r="H45" s="16">
        <v>1</v>
      </c>
      <c r="I45" s="19">
        <v>0</v>
      </c>
      <c r="J45" s="19"/>
      <c r="K45" s="17">
        <f t="shared" si="2"/>
        <v>2</v>
      </c>
      <c r="L45" s="22">
        <f t="shared" si="3"/>
        <v>10</v>
      </c>
      <c r="M45" s="16">
        <v>18</v>
      </c>
      <c r="N45" s="23"/>
    </row>
    <row r="46" spans="1:14" x14ac:dyDescent="0.2">
      <c r="A46" s="34" t="s">
        <v>58</v>
      </c>
      <c r="B46" s="16">
        <v>0</v>
      </c>
      <c r="C46" s="17">
        <f>60+32</f>
        <v>92</v>
      </c>
      <c r="D46" s="28">
        <f t="shared" si="0"/>
        <v>92</v>
      </c>
      <c r="E46" s="19">
        <v>24</v>
      </c>
      <c r="F46" s="19">
        <v>4</v>
      </c>
      <c r="G46" s="21">
        <v>39</v>
      </c>
      <c r="H46" s="16">
        <v>32</v>
      </c>
      <c r="I46" s="19">
        <f>4+24+12</f>
        <v>40</v>
      </c>
      <c r="J46" s="19"/>
      <c r="K46" s="17">
        <f t="shared" si="2"/>
        <v>139</v>
      </c>
      <c r="L46" s="22">
        <f t="shared" si="3"/>
        <v>-47</v>
      </c>
      <c r="M46" s="16">
        <v>0</v>
      </c>
      <c r="N46" s="23"/>
    </row>
    <row r="47" spans="1:14" x14ac:dyDescent="0.2">
      <c r="A47" s="34" t="s">
        <v>59</v>
      </c>
      <c r="B47" s="16">
        <v>0</v>
      </c>
      <c r="C47" s="17">
        <f>23+14</f>
        <v>37</v>
      </c>
      <c r="D47" s="28">
        <f t="shared" si="0"/>
        <v>37</v>
      </c>
      <c r="E47" s="19">
        <v>5</v>
      </c>
      <c r="F47" s="19">
        <v>0</v>
      </c>
      <c r="G47" s="21">
        <v>34</v>
      </c>
      <c r="H47" s="16">
        <v>12</v>
      </c>
      <c r="I47" s="19">
        <f>3+10+6</f>
        <v>19</v>
      </c>
      <c r="J47" s="19"/>
      <c r="K47" s="17">
        <f t="shared" si="2"/>
        <v>70</v>
      </c>
      <c r="L47" s="22">
        <f t="shared" si="3"/>
        <v>-33</v>
      </c>
      <c r="M47" s="16">
        <v>0</v>
      </c>
      <c r="N47" s="23"/>
    </row>
    <row r="48" spans="1:14" x14ac:dyDescent="0.2">
      <c r="A48" s="34" t="s">
        <v>60</v>
      </c>
      <c r="B48" s="16">
        <v>0</v>
      </c>
      <c r="C48" s="17"/>
      <c r="D48" s="28">
        <f>B48+C48</f>
        <v>0</v>
      </c>
      <c r="E48" s="19">
        <v>0</v>
      </c>
      <c r="F48" s="19">
        <v>0</v>
      </c>
      <c r="G48" s="21">
        <v>0</v>
      </c>
      <c r="H48" s="16">
        <v>0</v>
      </c>
      <c r="I48" s="19">
        <v>0</v>
      </c>
      <c r="J48" s="19"/>
      <c r="K48" s="17">
        <f t="shared" si="2"/>
        <v>0</v>
      </c>
      <c r="L48" s="22">
        <f t="shared" si="3"/>
        <v>0</v>
      </c>
      <c r="M48" s="16">
        <v>0</v>
      </c>
      <c r="N48" s="23"/>
    </row>
    <row r="49" spans="1:14" x14ac:dyDescent="0.2">
      <c r="A49" s="35" t="s">
        <v>61</v>
      </c>
      <c r="B49" s="16">
        <v>19</v>
      </c>
      <c r="C49" s="17">
        <v>35</v>
      </c>
      <c r="D49" s="28">
        <f>B49+C49</f>
        <v>54</v>
      </c>
      <c r="E49" s="19">
        <v>28</v>
      </c>
      <c r="F49" s="19">
        <v>2</v>
      </c>
      <c r="G49" s="21">
        <v>14</v>
      </c>
      <c r="H49" s="16">
        <v>8</v>
      </c>
      <c r="I49" s="19">
        <v>26</v>
      </c>
      <c r="J49" s="19"/>
      <c r="K49" s="17">
        <f t="shared" si="2"/>
        <v>78</v>
      </c>
      <c r="L49" s="22">
        <f t="shared" si="3"/>
        <v>-24</v>
      </c>
      <c r="M49" s="16">
        <v>2</v>
      </c>
      <c r="N49" s="23"/>
    </row>
    <row r="50" spans="1:14" x14ac:dyDescent="0.2">
      <c r="A50" s="35" t="s">
        <v>62</v>
      </c>
      <c r="B50" s="16">
        <v>0</v>
      </c>
      <c r="C50" s="17">
        <v>4</v>
      </c>
      <c r="D50" s="28">
        <f>B50+C50</f>
        <v>4</v>
      </c>
      <c r="E50" s="19">
        <v>14</v>
      </c>
      <c r="F50" s="19">
        <v>2</v>
      </c>
      <c r="G50" s="21">
        <v>0</v>
      </c>
      <c r="H50" s="16">
        <v>2</v>
      </c>
      <c r="I50" s="19">
        <v>6</v>
      </c>
      <c r="J50" s="19"/>
      <c r="K50" s="17">
        <f t="shared" si="2"/>
        <v>24</v>
      </c>
      <c r="L50" s="22">
        <f t="shared" si="3"/>
        <v>-20</v>
      </c>
      <c r="M50" s="16">
        <v>2</v>
      </c>
      <c r="N50" s="23"/>
    </row>
    <row r="51" spans="1:14" x14ac:dyDescent="0.2">
      <c r="A51" s="34" t="s">
        <v>63</v>
      </c>
      <c r="B51" s="16">
        <v>0</v>
      </c>
      <c r="C51" s="17">
        <v>10</v>
      </c>
      <c r="D51" s="28">
        <f>B51+C51</f>
        <v>10</v>
      </c>
      <c r="E51" s="19">
        <v>16</v>
      </c>
      <c r="F51" s="19">
        <v>4</v>
      </c>
      <c r="G51" s="21">
        <v>0</v>
      </c>
      <c r="H51" s="16">
        <f>22+8</f>
        <v>30</v>
      </c>
      <c r="I51" s="19">
        <v>16</v>
      </c>
      <c r="J51" s="19"/>
      <c r="K51" s="17">
        <f t="shared" si="2"/>
        <v>66</v>
      </c>
      <c r="L51" s="22">
        <f>D51-K51</f>
        <v>-56</v>
      </c>
      <c r="M51" s="16">
        <v>6</v>
      </c>
      <c r="N51" s="23"/>
    </row>
    <row r="52" spans="1:14" x14ac:dyDescent="0.2">
      <c r="A52" s="34" t="s">
        <v>64</v>
      </c>
      <c r="B52" s="16">
        <v>0</v>
      </c>
      <c r="C52" s="17">
        <v>2</v>
      </c>
      <c r="D52" s="28">
        <f>B52+C52</f>
        <v>2</v>
      </c>
      <c r="E52" s="19">
        <v>0</v>
      </c>
      <c r="F52" s="19">
        <v>2</v>
      </c>
      <c r="G52" s="21">
        <v>0</v>
      </c>
      <c r="H52" s="16">
        <v>0</v>
      </c>
      <c r="I52" s="19">
        <v>0</v>
      </c>
      <c r="J52" s="19"/>
      <c r="K52" s="17">
        <f t="shared" si="2"/>
        <v>2</v>
      </c>
      <c r="L52" s="22">
        <f>D52-K52</f>
        <v>0</v>
      </c>
      <c r="M52" s="16">
        <v>0</v>
      </c>
      <c r="N52" s="23"/>
    </row>
    <row r="53" spans="1:14" x14ac:dyDescent="0.2">
      <c r="A53" s="34" t="s">
        <v>65</v>
      </c>
      <c r="B53" s="16">
        <v>16</v>
      </c>
      <c r="C53" s="17"/>
      <c r="D53" s="28">
        <f t="shared" ref="D53:D54" si="4">B53+C53</f>
        <v>16</v>
      </c>
      <c r="E53" s="19">
        <v>0</v>
      </c>
      <c r="F53" s="19">
        <v>0</v>
      </c>
      <c r="G53" s="21">
        <v>0</v>
      </c>
      <c r="H53" s="16">
        <v>0</v>
      </c>
      <c r="I53" s="19">
        <v>0</v>
      </c>
      <c r="J53" s="19"/>
      <c r="K53" s="17">
        <f t="shared" si="2"/>
        <v>0</v>
      </c>
      <c r="L53" s="22">
        <f t="shared" ref="L53:L54" si="5">D53-K53</f>
        <v>16</v>
      </c>
      <c r="M53" s="16">
        <v>2</v>
      </c>
      <c r="N53" s="23"/>
    </row>
    <row r="54" spans="1:14" x14ac:dyDescent="0.2">
      <c r="A54" s="34" t="s">
        <v>66</v>
      </c>
      <c r="B54" s="16">
        <v>42</v>
      </c>
      <c r="C54" s="17">
        <f>25+24</f>
        <v>49</v>
      </c>
      <c r="D54" s="28">
        <f t="shared" si="4"/>
        <v>91</v>
      </c>
      <c r="E54" s="19">
        <v>0</v>
      </c>
      <c r="F54" s="19">
        <v>0</v>
      </c>
      <c r="G54" s="21">
        <v>28</v>
      </c>
      <c r="H54" s="16">
        <v>0</v>
      </c>
      <c r="I54" s="19">
        <v>48</v>
      </c>
      <c r="J54" s="19"/>
      <c r="K54" s="17">
        <f t="shared" si="2"/>
        <v>76</v>
      </c>
      <c r="L54" s="22">
        <f t="shared" si="5"/>
        <v>15</v>
      </c>
      <c r="M54" s="16">
        <f>25+13</f>
        <v>38</v>
      </c>
      <c r="N54" s="23"/>
    </row>
    <row r="55" spans="1:14" x14ac:dyDescent="0.2">
      <c r="A55" s="36"/>
      <c r="B55" s="37"/>
      <c r="D55" s="38"/>
      <c r="E55" s="39"/>
      <c r="F55" s="39"/>
      <c r="G55" s="40"/>
      <c r="H55" s="41" t="s">
        <v>1</v>
      </c>
      <c r="I55" s="39"/>
      <c r="J55" s="39"/>
      <c r="K55" s="42"/>
      <c r="L55" s="43"/>
      <c r="M55" s="37"/>
    </row>
    <row r="56" spans="1:14" ht="32.25" customHeight="1" x14ac:dyDescent="0.2">
      <c r="A56" s="13" t="s">
        <v>67</v>
      </c>
      <c r="B56" s="9" t="s">
        <v>3</v>
      </c>
      <c r="C56" s="44" t="s">
        <v>4</v>
      </c>
      <c r="D56" s="13" t="s">
        <v>5</v>
      </c>
      <c r="E56" s="45" t="s">
        <v>6</v>
      </c>
      <c r="F56" s="45" t="s">
        <v>7</v>
      </c>
      <c r="G56" s="12" t="s">
        <v>8</v>
      </c>
      <c r="H56" s="13" t="s">
        <v>9</v>
      </c>
      <c r="I56" s="45" t="s">
        <v>10</v>
      </c>
      <c r="J56" s="45" t="s">
        <v>11</v>
      </c>
      <c r="K56" s="13" t="s">
        <v>12</v>
      </c>
      <c r="L56" s="14" t="s">
        <v>13</v>
      </c>
      <c r="M56" s="13" t="s">
        <v>14</v>
      </c>
    </row>
    <row r="57" spans="1:14" x14ac:dyDescent="0.2">
      <c r="A57" s="46" t="s">
        <v>68</v>
      </c>
      <c r="B57" s="16">
        <f>27+25</f>
        <v>52</v>
      </c>
      <c r="C57" s="17">
        <f>139+50</f>
        <v>189</v>
      </c>
      <c r="D57" s="28">
        <f t="shared" ref="D57:D75" si="6">B57+C57</f>
        <v>241</v>
      </c>
      <c r="E57" s="19">
        <v>0</v>
      </c>
      <c r="F57" s="19">
        <v>0</v>
      </c>
      <c r="G57" s="21">
        <v>36</v>
      </c>
      <c r="H57" s="16">
        <v>0</v>
      </c>
      <c r="I57" s="19">
        <v>76</v>
      </c>
      <c r="J57" s="19"/>
      <c r="K57" s="17">
        <f t="shared" ref="K57:K65" si="7">E57+F57+G57+H57+I57+J57</f>
        <v>112</v>
      </c>
      <c r="L57" s="47">
        <f t="shared" ref="L57:L65" si="8">D57-K57</f>
        <v>129</v>
      </c>
      <c r="M57" s="16">
        <f>69+30</f>
        <v>99</v>
      </c>
      <c r="N57" s="23"/>
    </row>
    <row r="58" spans="1:14" x14ac:dyDescent="0.2">
      <c r="A58" s="31" t="s">
        <v>69</v>
      </c>
      <c r="B58" s="16">
        <v>52</v>
      </c>
      <c r="C58" s="17">
        <v>137</v>
      </c>
      <c r="D58" s="28">
        <f t="shared" si="6"/>
        <v>189</v>
      </c>
      <c r="E58" s="19">
        <v>0</v>
      </c>
      <c r="F58" s="19">
        <v>0</v>
      </c>
      <c r="G58" s="21">
        <v>88</v>
      </c>
      <c r="H58" s="16">
        <v>0</v>
      </c>
      <c r="I58" s="19">
        <v>68</v>
      </c>
      <c r="J58" s="19"/>
      <c r="K58" s="17">
        <f t="shared" si="7"/>
        <v>156</v>
      </c>
      <c r="L58" s="47">
        <f t="shared" si="8"/>
        <v>33</v>
      </c>
      <c r="M58" s="16">
        <v>169</v>
      </c>
      <c r="N58" s="23"/>
    </row>
    <row r="59" spans="1:14" x14ac:dyDescent="0.2">
      <c r="A59" s="31" t="s">
        <v>70</v>
      </c>
      <c r="B59" s="16">
        <v>19</v>
      </c>
      <c r="C59" s="17">
        <f>128+75</f>
        <v>203</v>
      </c>
      <c r="D59" s="28">
        <f t="shared" si="6"/>
        <v>222</v>
      </c>
      <c r="E59" s="19">
        <v>0</v>
      </c>
      <c r="F59" s="19">
        <v>0</v>
      </c>
      <c r="G59" s="21">
        <v>72</v>
      </c>
      <c r="H59" s="16">
        <v>0</v>
      </c>
      <c r="I59" s="19">
        <v>56</v>
      </c>
      <c r="J59" s="19"/>
      <c r="K59" s="17">
        <f t="shared" si="7"/>
        <v>128</v>
      </c>
      <c r="L59" s="47">
        <f t="shared" si="8"/>
        <v>94</v>
      </c>
      <c r="M59" s="16">
        <f>42+75</f>
        <v>117</v>
      </c>
      <c r="N59" s="23"/>
    </row>
    <row r="60" spans="1:14" x14ac:dyDescent="0.2">
      <c r="A60" s="31" t="s">
        <v>71</v>
      </c>
      <c r="B60" s="16">
        <v>18</v>
      </c>
      <c r="C60" s="17">
        <v>26</v>
      </c>
      <c r="D60" s="28">
        <f t="shared" si="6"/>
        <v>44</v>
      </c>
      <c r="E60" s="19">
        <v>0</v>
      </c>
      <c r="F60" s="19">
        <v>0</v>
      </c>
      <c r="G60" s="21">
        <v>15</v>
      </c>
      <c r="H60" s="16">
        <v>0</v>
      </c>
      <c r="I60" s="19">
        <v>0</v>
      </c>
      <c r="J60" s="19"/>
      <c r="K60" s="17">
        <f t="shared" si="7"/>
        <v>15</v>
      </c>
      <c r="L60" s="47">
        <f t="shared" si="8"/>
        <v>29</v>
      </c>
      <c r="M60" s="16">
        <f>26+10</f>
        <v>36</v>
      </c>
      <c r="N60" s="23"/>
    </row>
    <row r="61" spans="1:14" x14ac:dyDescent="0.2">
      <c r="A61" s="46" t="s">
        <v>72</v>
      </c>
      <c r="B61" s="16">
        <v>7</v>
      </c>
      <c r="C61" s="17">
        <v>5</v>
      </c>
      <c r="D61" s="28">
        <f t="shared" si="6"/>
        <v>12</v>
      </c>
      <c r="E61" s="19">
        <v>0</v>
      </c>
      <c r="F61" s="19">
        <v>0</v>
      </c>
      <c r="G61" s="21">
        <v>0</v>
      </c>
      <c r="H61" s="16">
        <v>0</v>
      </c>
      <c r="I61" s="19">
        <v>0</v>
      </c>
      <c r="J61" s="19"/>
      <c r="K61" s="17">
        <f t="shared" si="7"/>
        <v>0</v>
      </c>
      <c r="L61" s="47">
        <f t="shared" si="8"/>
        <v>12</v>
      </c>
      <c r="M61" s="16">
        <v>10</v>
      </c>
      <c r="N61" s="23"/>
    </row>
    <row r="62" spans="1:14" x14ac:dyDescent="0.2">
      <c r="A62" s="31" t="s">
        <v>73</v>
      </c>
      <c r="B62" s="16">
        <f>27+67</f>
        <v>94</v>
      </c>
      <c r="C62" s="17">
        <v>40</v>
      </c>
      <c r="D62" s="28">
        <f t="shared" si="6"/>
        <v>134</v>
      </c>
      <c r="E62" s="19">
        <v>0</v>
      </c>
      <c r="F62" s="19">
        <v>0</v>
      </c>
      <c r="G62" s="21">
        <v>36</v>
      </c>
      <c r="H62" s="16">
        <v>0</v>
      </c>
      <c r="I62" s="19">
        <v>9</v>
      </c>
      <c r="J62" s="19"/>
      <c r="K62" s="17">
        <f t="shared" si="7"/>
        <v>45</v>
      </c>
      <c r="L62" s="47">
        <f t="shared" si="8"/>
        <v>89</v>
      </c>
      <c r="M62" s="16">
        <v>50</v>
      </c>
      <c r="N62" s="23"/>
    </row>
    <row r="63" spans="1:14" ht="12" customHeight="1" x14ac:dyDescent="0.2">
      <c r="A63" s="34" t="s">
        <v>74</v>
      </c>
      <c r="B63" s="16">
        <v>0</v>
      </c>
      <c r="C63" s="17"/>
      <c r="D63" s="28">
        <f t="shared" si="6"/>
        <v>0</v>
      </c>
      <c r="E63" s="19">
        <v>0</v>
      </c>
      <c r="F63" s="19">
        <v>0</v>
      </c>
      <c r="G63" s="21">
        <v>0</v>
      </c>
      <c r="H63" s="16">
        <v>0</v>
      </c>
      <c r="I63" s="19">
        <v>0</v>
      </c>
      <c r="J63" s="19"/>
      <c r="K63" s="17">
        <f t="shared" si="7"/>
        <v>0</v>
      </c>
      <c r="L63" s="47">
        <f t="shared" si="8"/>
        <v>0</v>
      </c>
      <c r="M63" s="16">
        <v>0</v>
      </c>
      <c r="N63" s="23"/>
    </row>
    <row r="64" spans="1:14" ht="12.75" customHeight="1" x14ac:dyDescent="0.2">
      <c r="A64" s="46" t="s">
        <v>75</v>
      </c>
      <c r="B64" s="16">
        <v>6</v>
      </c>
      <c r="C64" s="17">
        <v>12</v>
      </c>
      <c r="D64" s="28">
        <f>B64+C64</f>
        <v>18</v>
      </c>
      <c r="E64" s="19">
        <v>0</v>
      </c>
      <c r="F64" s="19">
        <v>0</v>
      </c>
      <c r="G64" s="21">
        <v>16</v>
      </c>
      <c r="H64" s="16">
        <v>0</v>
      </c>
      <c r="I64" s="19">
        <v>8</v>
      </c>
      <c r="J64" s="19"/>
      <c r="K64" s="17">
        <f t="shared" si="7"/>
        <v>24</v>
      </c>
      <c r="L64" s="47">
        <f t="shared" si="8"/>
        <v>-6</v>
      </c>
      <c r="M64" s="16">
        <v>1</v>
      </c>
      <c r="N64" s="23"/>
    </row>
    <row r="65" spans="1:16" ht="12" customHeight="1" x14ac:dyDescent="0.2">
      <c r="A65" s="46" t="s">
        <v>76</v>
      </c>
      <c r="B65" s="16">
        <v>64</v>
      </c>
      <c r="C65" s="17">
        <f>72+27</f>
        <v>99</v>
      </c>
      <c r="D65" s="28">
        <f>B65+C65</f>
        <v>163</v>
      </c>
      <c r="E65" s="19">
        <v>12</v>
      </c>
      <c r="F65" s="19">
        <v>3</v>
      </c>
      <c r="G65" s="21">
        <v>34</v>
      </c>
      <c r="H65" s="16">
        <v>45</v>
      </c>
      <c r="I65" s="19">
        <f>12+36</f>
        <v>48</v>
      </c>
      <c r="J65" s="19"/>
      <c r="K65" s="17">
        <f t="shared" si="7"/>
        <v>142</v>
      </c>
      <c r="L65" s="47">
        <f t="shared" si="8"/>
        <v>21</v>
      </c>
      <c r="M65" s="16">
        <v>141</v>
      </c>
      <c r="N65" s="23"/>
    </row>
    <row r="66" spans="1:16" ht="32.25" customHeight="1" x14ac:dyDescent="0.2">
      <c r="A66" s="13" t="s">
        <v>77</v>
      </c>
      <c r="B66" s="48"/>
      <c r="C66" s="44" t="s">
        <v>4</v>
      </c>
      <c r="D66" s="13" t="s">
        <v>5</v>
      </c>
      <c r="E66" s="45" t="s">
        <v>6</v>
      </c>
      <c r="F66" s="45" t="s">
        <v>7</v>
      </c>
      <c r="G66" s="12" t="s">
        <v>10</v>
      </c>
      <c r="H66" s="13" t="s">
        <v>9</v>
      </c>
      <c r="I66" s="45" t="s">
        <v>10</v>
      </c>
      <c r="J66" s="45" t="s">
        <v>11</v>
      </c>
      <c r="K66" s="13" t="s">
        <v>12</v>
      </c>
      <c r="L66" s="49" t="s">
        <v>13</v>
      </c>
      <c r="M66" s="13" t="s">
        <v>78</v>
      </c>
      <c r="P66" s="50"/>
    </row>
    <row r="67" spans="1:16" ht="11.25" customHeight="1" x14ac:dyDescent="0.2">
      <c r="A67" s="31" t="s">
        <v>79</v>
      </c>
      <c r="B67" s="17">
        <v>10</v>
      </c>
      <c r="C67" s="17">
        <f>25+19</f>
        <v>44</v>
      </c>
      <c r="D67" s="28">
        <f>B67+C67</f>
        <v>54</v>
      </c>
      <c r="E67" s="19">
        <v>0</v>
      </c>
      <c r="F67" s="19">
        <v>0</v>
      </c>
      <c r="G67" s="21">
        <v>0</v>
      </c>
      <c r="H67" s="16">
        <v>0</v>
      </c>
      <c r="I67" s="19">
        <v>30</v>
      </c>
      <c r="J67" s="19"/>
      <c r="K67" s="17">
        <f t="shared" ref="K67:K75" si="9">E67+F67+G67+H67+I67+J67</f>
        <v>30</v>
      </c>
      <c r="L67" s="47">
        <f>D67-K67</f>
        <v>24</v>
      </c>
      <c r="M67" s="17"/>
      <c r="N67" s="23"/>
    </row>
    <row r="68" spans="1:16" ht="12.75" customHeight="1" x14ac:dyDescent="0.2">
      <c r="A68" s="46" t="s">
        <v>80</v>
      </c>
      <c r="B68" s="17">
        <v>0</v>
      </c>
      <c r="C68" s="17"/>
      <c r="D68" s="28">
        <f>B68+C68</f>
        <v>0</v>
      </c>
      <c r="E68" s="19">
        <v>0</v>
      </c>
      <c r="F68" s="19">
        <v>0</v>
      </c>
      <c r="G68" s="21">
        <v>0</v>
      </c>
      <c r="H68" s="16">
        <v>0</v>
      </c>
      <c r="I68" s="19">
        <v>0</v>
      </c>
      <c r="J68" s="19"/>
      <c r="K68" s="17">
        <f t="shared" si="9"/>
        <v>0</v>
      </c>
      <c r="L68" s="47">
        <f t="shared" ref="L68:L75" si="10">D68-K68</f>
        <v>0</v>
      </c>
      <c r="M68" s="17"/>
      <c r="N68" s="23"/>
    </row>
    <row r="69" spans="1:16" x14ac:dyDescent="0.2">
      <c r="A69" s="31" t="s">
        <v>81</v>
      </c>
      <c r="B69" s="17">
        <v>0</v>
      </c>
      <c r="C69" s="17"/>
      <c r="D69" s="28">
        <f t="shared" si="6"/>
        <v>0</v>
      </c>
      <c r="E69" s="19">
        <v>0</v>
      </c>
      <c r="F69" s="19">
        <v>0</v>
      </c>
      <c r="G69" s="21">
        <v>0</v>
      </c>
      <c r="H69" s="16">
        <v>0</v>
      </c>
      <c r="I69" s="19">
        <v>0</v>
      </c>
      <c r="J69" s="19"/>
      <c r="K69" s="17">
        <f t="shared" si="9"/>
        <v>0</v>
      </c>
      <c r="L69" s="47">
        <f t="shared" si="10"/>
        <v>0</v>
      </c>
      <c r="M69" s="17"/>
      <c r="N69" s="23"/>
    </row>
    <row r="70" spans="1:16" x14ac:dyDescent="0.2">
      <c r="A70" s="46" t="s">
        <v>82</v>
      </c>
      <c r="B70" s="17">
        <v>0</v>
      </c>
      <c r="C70" s="51"/>
      <c r="D70" s="52">
        <f t="shared" si="6"/>
        <v>0</v>
      </c>
      <c r="E70" s="19">
        <v>0</v>
      </c>
      <c r="F70" s="19">
        <v>0</v>
      </c>
      <c r="G70" s="21">
        <v>0</v>
      </c>
      <c r="H70" s="16">
        <v>0</v>
      </c>
      <c r="I70" s="19">
        <v>0</v>
      </c>
      <c r="J70" s="19"/>
      <c r="K70" s="17">
        <f t="shared" si="9"/>
        <v>0</v>
      </c>
      <c r="L70" s="47">
        <f t="shared" si="10"/>
        <v>0</v>
      </c>
      <c r="M70" s="17"/>
      <c r="N70" s="23"/>
    </row>
    <row r="71" spans="1:16" x14ac:dyDescent="0.2">
      <c r="A71" s="46" t="s">
        <v>83</v>
      </c>
      <c r="B71" s="17">
        <v>27</v>
      </c>
      <c r="C71" s="17"/>
      <c r="D71" s="28">
        <f t="shared" si="6"/>
        <v>27</v>
      </c>
      <c r="E71" s="19">
        <v>0</v>
      </c>
      <c r="F71" s="19">
        <v>0</v>
      </c>
      <c r="G71" s="21">
        <v>0</v>
      </c>
      <c r="H71" s="16">
        <v>0</v>
      </c>
      <c r="I71" s="19">
        <v>0</v>
      </c>
      <c r="J71" s="19"/>
      <c r="K71" s="17">
        <f t="shared" si="9"/>
        <v>0</v>
      </c>
      <c r="L71" s="47">
        <f t="shared" si="10"/>
        <v>27</v>
      </c>
      <c r="M71" s="17"/>
      <c r="N71" s="23"/>
    </row>
    <row r="72" spans="1:16" x14ac:dyDescent="0.2">
      <c r="A72" s="53" t="s">
        <v>84</v>
      </c>
      <c r="B72" s="17">
        <v>0</v>
      </c>
      <c r="C72" s="54"/>
      <c r="D72" s="55">
        <f t="shared" si="6"/>
        <v>0</v>
      </c>
      <c r="E72" s="19">
        <v>0</v>
      </c>
      <c r="F72" s="19">
        <v>0</v>
      </c>
      <c r="G72" s="21">
        <v>0</v>
      </c>
      <c r="H72" s="16">
        <v>0</v>
      </c>
      <c r="I72" s="19">
        <v>0</v>
      </c>
      <c r="J72" s="19"/>
      <c r="K72" s="17">
        <f t="shared" si="9"/>
        <v>0</v>
      </c>
      <c r="L72" s="47">
        <f t="shared" si="10"/>
        <v>0</v>
      </c>
      <c r="M72" s="17"/>
      <c r="N72" s="23"/>
    </row>
    <row r="73" spans="1:16" x14ac:dyDescent="0.2">
      <c r="A73" s="31" t="s">
        <v>85</v>
      </c>
      <c r="B73" s="17">
        <v>46</v>
      </c>
      <c r="C73" s="17"/>
      <c r="D73" s="28">
        <f t="shared" si="6"/>
        <v>46</v>
      </c>
      <c r="E73" s="19">
        <v>0</v>
      </c>
      <c r="F73" s="19">
        <v>0</v>
      </c>
      <c r="G73" s="21">
        <v>0</v>
      </c>
      <c r="H73" s="16">
        <v>0</v>
      </c>
      <c r="I73" s="19">
        <v>0</v>
      </c>
      <c r="J73" s="19"/>
      <c r="K73" s="17">
        <f t="shared" si="9"/>
        <v>0</v>
      </c>
      <c r="L73" s="47">
        <f t="shared" si="10"/>
        <v>46</v>
      </c>
      <c r="M73" s="17"/>
      <c r="N73" s="23"/>
    </row>
    <row r="74" spans="1:16" x14ac:dyDescent="0.2">
      <c r="A74" s="31" t="s">
        <v>86</v>
      </c>
      <c r="B74" s="17">
        <v>5</v>
      </c>
      <c r="C74" s="17"/>
      <c r="D74" s="28">
        <f t="shared" si="6"/>
        <v>5</v>
      </c>
      <c r="E74" s="19">
        <v>0</v>
      </c>
      <c r="F74" s="19">
        <v>0</v>
      </c>
      <c r="G74" s="21">
        <v>0</v>
      </c>
      <c r="H74" s="16">
        <v>0</v>
      </c>
      <c r="I74" s="19">
        <v>0</v>
      </c>
      <c r="J74" s="19"/>
      <c r="K74" s="17">
        <f t="shared" si="9"/>
        <v>0</v>
      </c>
      <c r="L74" s="47">
        <f t="shared" si="10"/>
        <v>5</v>
      </c>
      <c r="M74" s="17"/>
      <c r="N74" s="23"/>
    </row>
    <row r="75" spans="1:16" x14ac:dyDescent="0.2">
      <c r="A75" s="31" t="s">
        <v>87</v>
      </c>
      <c r="B75" s="17">
        <v>0</v>
      </c>
      <c r="C75" s="17">
        <v>9</v>
      </c>
      <c r="D75" s="28">
        <f t="shared" si="6"/>
        <v>9</v>
      </c>
      <c r="E75" s="19">
        <v>0</v>
      </c>
      <c r="F75" s="19">
        <v>0</v>
      </c>
      <c r="G75" s="21">
        <v>0</v>
      </c>
      <c r="H75" s="16">
        <v>0</v>
      </c>
      <c r="I75" s="19">
        <v>0</v>
      </c>
      <c r="J75" s="19"/>
      <c r="K75" s="17">
        <f t="shared" si="9"/>
        <v>0</v>
      </c>
      <c r="L75" s="47">
        <f t="shared" si="10"/>
        <v>9</v>
      </c>
      <c r="M75" s="17"/>
      <c r="N75" s="23"/>
    </row>
    <row r="76" spans="1:16" x14ac:dyDescent="0.2">
      <c r="A76" s="36"/>
      <c r="B76" s="37"/>
      <c r="D76" s="38"/>
      <c r="E76" s="56"/>
      <c r="F76" s="39"/>
      <c r="H76" s="57"/>
      <c r="I76" s="56"/>
      <c r="J76" s="39"/>
      <c r="K76" s="37"/>
      <c r="L76" s="43"/>
      <c r="M76" s="37"/>
      <c r="N76" s="23"/>
    </row>
    <row r="77" spans="1:16" x14ac:dyDescent="0.2">
      <c r="A77" s="36"/>
      <c r="B77" s="37"/>
      <c r="D77" s="38"/>
      <c r="E77" s="58"/>
      <c r="F77" s="39"/>
      <c r="H77" s="57"/>
      <c r="I77" s="58"/>
      <c r="J77" s="39"/>
      <c r="K77" s="37"/>
      <c r="L77" s="43"/>
      <c r="M77" s="37"/>
      <c r="N77" s="23"/>
    </row>
    <row r="78" spans="1:16" x14ac:dyDescent="0.2">
      <c r="A78" s="36" t="str">
        <f>A1</f>
        <v>SEMANA DE  28/05/26 AL 03/06/2026</v>
      </c>
      <c r="B78" s="37"/>
      <c r="C78" s="41"/>
      <c r="D78" s="50"/>
      <c r="E78" s="59"/>
      <c r="F78" s="60"/>
      <c r="G78" s="61"/>
      <c r="H78" s="61"/>
      <c r="I78" s="59"/>
      <c r="J78" s="60"/>
      <c r="K78" s="37"/>
      <c r="L78" s="7"/>
      <c r="M78" s="37"/>
    </row>
    <row r="79" spans="1:16" ht="33.75" customHeight="1" x14ac:dyDescent="0.2">
      <c r="A79" s="13" t="s">
        <v>88</v>
      </c>
      <c r="B79" s="9" t="s">
        <v>3</v>
      </c>
      <c r="C79" s="44" t="s">
        <v>4</v>
      </c>
      <c r="D79" s="13" t="s">
        <v>5</v>
      </c>
      <c r="E79" s="45" t="s">
        <v>6</v>
      </c>
      <c r="F79" s="45" t="s">
        <v>7</v>
      </c>
      <c r="G79" s="12" t="s">
        <v>8</v>
      </c>
      <c r="H79" s="13" t="s">
        <v>9</v>
      </c>
      <c r="I79" s="45" t="s">
        <v>10</v>
      </c>
      <c r="J79" s="45" t="s">
        <v>11</v>
      </c>
      <c r="K79" s="13" t="s">
        <v>12</v>
      </c>
      <c r="L79" s="14" t="s">
        <v>13</v>
      </c>
      <c r="M79" s="13" t="s">
        <v>89</v>
      </c>
    </row>
    <row r="80" spans="1:16" x14ac:dyDescent="0.2">
      <c r="A80" s="46" t="s">
        <v>90</v>
      </c>
      <c r="B80" s="17">
        <v>0</v>
      </c>
      <c r="C80" s="51"/>
      <c r="D80" s="62">
        <f t="shared" ref="D80:D130" si="11">B80+C80</f>
        <v>0</v>
      </c>
      <c r="E80" s="19">
        <v>0</v>
      </c>
      <c r="F80" s="19">
        <v>0</v>
      </c>
      <c r="G80" s="21">
        <v>0</v>
      </c>
      <c r="H80" s="16">
        <v>0</v>
      </c>
      <c r="I80" s="19">
        <v>0</v>
      </c>
      <c r="J80" s="19"/>
      <c r="K80" s="17">
        <f t="shared" ref="K80:K135" si="12">E80+F80+G80+H80+I80+J80</f>
        <v>0</v>
      </c>
      <c r="L80" s="63">
        <f t="shared" ref="L80:L135" si="13">D80-K80</f>
        <v>0</v>
      </c>
      <c r="M80" s="17">
        <v>0</v>
      </c>
      <c r="N80" s="23"/>
    </row>
    <row r="81" spans="1:14" x14ac:dyDescent="0.2">
      <c r="A81" s="31" t="s">
        <v>16</v>
      </c>
      <c r="B81" s="16">
        <v>0</v>
      </c>
      <c r="C81" s="17"/>
      <c r="D81" s="64">
        <f>B81+C81</f>
        <v>0</v>
      </c>
      <c r="E81" s="19">
        <v>0</v>
      </c>
      <c r="F81" s="19">
        <v>0</v>
      </c>
      <c r="G81" s="21">
        <v>0</v>
      </c>
      <c r="H81" s="16">
        <v>0</v>
      </c>
      <c r="I81" s="19">
        <v>0</v>
      </c>
      <c r="J81" s="19"/>
      <c r="K81" s="17">
        <f t="shared" si="12"/>
        <v>0</v>
      </c>
      <c r="L81" s="65">
        <f t="shared" si="13"/>
        <v>0</v>
      </c>
      <c r="M81" s="16">
        <v>0</v>
      </c>
      <c r="N81" s="23"/>
    </row>
    <row r="82" spans="1:14" x14ac:dyDescent="0.2">
      <c r="A82" s="31" t="s">
        <v>17</v>
      </c>
      <c r="B82" s="16">
        <v>0</v>
      </c>
      <c r="C82" s="17">
        <v>32</v>
      </c>
      <c r="D82" s="64">
        <f t="shared" si="11"/>
        <v>32</v>
      </c>
      <c r="E82" s="19">
        <v>0</v>
      </c>
      <c r="F82" s="19">
        <v>0</v>
      </c>
      <c r="G82" s="21">
        <v>0</v>
      </c>
      <c r="H82" s="16">
        <v>0</v>
      </c>
      <c r="I82" s="19">
        <v>9</v>
      </c>
      <c r="J82" s="19"/>
      <c r="K82" s="17">
        <f t="shared" si="12"/>
        <v>9</v>
      </c>
      <c r="L82" s="65">
        <f t="shared" si="13"/>
        <v>23</v>
      </c>
      <c r="M82" s="16">
        <v>50</v>
      </c>
      <c r="N82" s="23"/>
    </row>
    <row r="83" spans="1:14" x14ac:dyDescent="0.2">
      <c r="A83" s="31" t="s">
        <v>91</v>
      </c>
      <c r="B83" s="16">
        <f>53+126</f>
        <v>179</v>
      </c>
      <c r="C83" s="17"/>
      <c r="D83" s="64">
        <f>B83+C83</f>
        <v>179</v>
      </c>
      <c r="E83" s="19">
        <v>0</v>
      </c>
      <c r="F83" s="19">
        <v>9</v>
      </c>
      <c r="G83" s="21">
        <v>18</v>
      </c>
      <c r="H83" s="16">
        <f>18+36</f>
        <v>54</v>
      </c>
      <c r="I83" s="19">
        <v>9</v>
      </c>
      <c r="J83" s="19"/>
      <c r="K83" s="17">
        <f t="shared" si="12"/>
        <v>90</v>
      </c>
      <c r="L83" s="65">
        <f t="shared" si="13"/>
        <v>89</v>
      </c>
      <c r="M83" s="16">
        <v>45</v>
      </c>
      <c r="N83" s="23"/>
    </row>
    <row r="84" spans="1:14" x14ac:dyDescent="0.2">
      <c r="A84" s="31" t="s">
        <v>92</v>
      </c>
      <c r="B84" s="16">
        <v>0</v>
      </c>
      <c r="C84" s="17">
        <v>6</v>
      </c>
      <c r="D84" s="64">
        <f t="shared" si="11"/>
        <v>6</v>
      </c>
      <c r="E84" s="19">
        <v>0</v>
      </c>
      <c r="F84" s="19">
        <v>0</v>
      </c>
      <c r="G84" s="21">
        <v>0</v>
      </c>
      <c r="H84" s="16">
        <v>0</v>
      </c>
      <c r="I84" s="19">
        <v>0</v>
      </c>
      <c r="J84" s="19"/>
      <c r="K84" s="17">
        <f t="shared" si="12"/>
        <v>0</v>
      </c>
      <c r="L84" s="65">
        <f t="shared" si="13"/>
        <v>6</v>
      </c>
      <c r="M84" s="16">
        <v>0</v>
      </c>
      <c r="N84" s="23"/>
    </row>
    <row r="85" spans="1:14" x14ac:dyDescent="0.2">
      <c r="A85" s="66" t="s">
        <v>93</v>
      </c>
      <c r="B85" s="16">
        <v>18</v>
      </c>
      <c r="C85" s="17"/>
      <c r="D85" s="64">
        <f t="shared" si="11"/>
        <v>18</v>
      </c>
      <c r="E85" s="19">
        <v>0</v>
      </c>
      <c r="F85" s="19">
        <v>0</v>
      </c>
      <c r="G85" s="21">
        <v>0</v>
      </c>
      <c r="H85" s="16">
        <v>9</v>
      </c>
      <c r="I85" s="19">
        <v>0</v>
      </c>
      <c r="J85" s="19"/>
      <c r="K85" s="17">
        <f t="shared" si="12"/>
        <v>9</v>
      </c>
      <c r="L85" s="65">
        <f t="shared" si="13"/>
        <v>9</v>
      </c>
      <c r="M85" s="16">
        <v>0</v>
      </c>
      <c r="N85" s="23"/>
    </row>
    <row r="86" spans="1:14" x14ac:dyDescent="0.2">
      <c r="A86" s="66" t="s">
        <v>94</v>
      </c>
      <c r="B86" s="16">
        <v>39</v>
      </c>
      <c r="C86" s="17"/>
      <c r="D86" s="64">
        <f t="shared" si="11"/>
        <v>39</v>
      </c>
      <c r="E86" s="19">
        <v>9</v>
      </c>
      <c r="F86" s="19">
        <v>0</v>
      </c>
      <c r="G86" s="21">
        <v>0</v>
      </c>
      <c r="H86" s="16">
        <v>0</v>
      </c>
      <c r="I86" s="19">
        <v>0</v>
      </c>
      <c r="J86" s="19"/>
      <c r="K86" s="17">
        <f t="shared" si="12"/>
        <v>9</v>
      </c>
      <c r="L86" s="65">
        <f t="shared" si="13"/>
        <v>30</v>
      </c>
      <c r="M86" s="16">
        <v>30</v>
      </c>
      <c r="N86" s="23"/>
    </row>
    <row r="87" spans="1:14" x14ac:dyDescent="0.2">
      <c r="A87" s="66" t="s">
        <v>95</v>
      </c>
      <c r="B87" s="16">
        <f>67+44</f>
        <v>111</v>
      </c>
      <c r="C87" s="17"/>
      <c r="D87" s="64">
        <f t="shared" si="11"/>
        <v>111</v>
      </c>
      <c r="E87" s="19">
        <v>27</v>
      </c>
      <c r="F87" s="19">
        <v>18</v>
      </c>
      <c r="G87" s="21">
        <v>9</v>
      </c>
      <c r="H87" s="16">
        <v>27</v>
      </c>
      <c r="I87" s="19">
        <v>9</v>
      </c>
      <c r="J87" s="19"/>
      <c r="K87" s="17">
        <f t="shared" si="12"/>
        <v>90</v>
      </c>
      <c r="L87" s="65">
        <f t="shared" si="13"/>
        <v>21</v>
      </c>
      <c r="M87" s="16">
        <v>30</v>
      </c>
      <c r="N87" s="23"/>
    </row>
    <row r="88" spans="1:14" x14ac:dyDescent="0.2">
      <c r="A88" s="31" t="s">
        <v>96</v>
      </c>
      <c r="B88" s="16">
        <v>75</v>
      </c>
      <c r="C88" s="17">
        <v>569</v>
      </c>
      <c r="D88" s="64">
        <f>B88+C88</f>
        <v>644</v>
      </c>
      <c r="E88" s="19">
        <f>27+78</f>
        <v>105</v>
      </c>
      <c r="F88" s="19">
        <f>6+18</f>
        <v>24</v>
      </c>
      <c r="G88" s="21">
        <f>6+18</f>
        <v>24</v>
      </c>
      <c r="H88" s="16">
        <f>70+63</f>
        <v>133</v>
      </c>
      <c r="I88" s="19">
        <f>42+9</f>
        <v>51</v>
      </c>
      <c r="J88" s="19"/>
      <c r="K88" s="17">
        <f t="shared" si="12"/>
        <v>337</v>
      </c>
      <c r="L88" s="65">
        <f t="shared" si="13"/>
        <v>307</v>
      </c>
      <c r="M88" s="16">
        <v>342</v>
      </c>
      <c r="N88" s="23"/>
    </row>
    <row r="89" spans="1:14" x14ac:dyDescent="0.2">
      <c r="A89" s="29" t="s">
        <v>22</v>
      </c>
      <c r="B89" s="16">
        <v>9</v>
      </c>
      <c r="C89" s="17"/>
      <c r="D89" s="64">
        <f t="shared" si="11"/>
        <v>9</v>
      </c>
      <c r="E89" s="19">
        <v>6</v>
      </c>
      <c r="F89" s="19">
        <v>0</v>
      </c>
      <c r="G89" s="21">
        <v>0</v>
      </c>
      <c r="H89" s="16">
        <v>6</v>
      </c>
      <c r="I89" s="19">
        <v>0</v>
      </c>
      <c r="J89" s="19"/>
      <c r="K89" s="17">
        <f t="shared" si="12"/>
        <v>12</v>
      </c>
      <c r="L89" s="65">
        <f t="shared" si="13"/>
        <v>-3</v>
      </c>
      <c r="M89" s="16">
        <v>0</v>
      </c>
      <c r="N89" s="23"/>
    </row>
    <row r="90" spans="1:14" x14ac:dyDescent="0.2">
      <c r="A90" s="29" t="s">
        <v>23</v>
      </c>
      <c r="B90" s="16">
        <v>18</v>
      </c>
      <c r="C90" s="17">
        <v>24</v>
      </c>
      <c r="D90" s="64">
        <v>0</v>
      </c>
      <c r="E90" s="19">
        <v>0</v>
      </c>
      <c r="F90" s="19">
        <v>0</v>
      </c>
      <c r="G90" s="21">
        <v>0</v>
      </c>
      <c r="H90" s="16">
        <f>18+6</f>
        <v>24</v>
      </c>
      <c r="I90" s="19">
        <v>0</v>
      </c>
      <c r="J90" s="19"/>
      <c r="K90" s="17">
        <f t="shared" si="12"/>
        <v>24</v>
      </c>
      <c r="L90" s="65">
        <f t="shared" si="13"/>
        <v>-24</v>
      </c>
      <c r="M90" s="16">
        <v>18</v>
      </c>
      <c r="N90" s="23"/>
    </row>
    <row r="91" spans="1:14" x14ac:dyDescent="0.2">
      <c r="A91" s="29" t="s">
        <v>97</v>
      </c>
      <c r="B91" s="16">
        <v>0</v>
      </c>
      <c r="C91" s="17">
        <v>9</v>
      </c>
      <c r="D91" s="64">
        <v>0</v>
      </c>
      <c r="E91" s="19">
        <v>0</v>
      </c>
      <c r="F91" s="19">
        <v>0</v>
      </c>
      <c r="G91" s="21">
        <v>0</v>
      </c>
      <c r="H91" s="16">
        <v>0</v>
      </c>
      <c r="I91" s="19">
        <v>9</v>
      </c>
      <c r="J91" s="19"/>
      <c r="K91" s="17">
        <f t="shared" si="12"/>
        <v>9</v>
      </c>
      <c r="L91" s="65">
        <f t="shared" si="13"/>
        <v>-9</v>
      </c>
      <c r="M91" s="16">
        <v>0</v>
      </c>
      <c r="N91" s="23"/>
    </row>
    <row r="92" spans="1:14" x14ac:dyDescent="0.2">
      <c r="A92" s="29" t="s">
        <v>98</v>
      </c>
      <c r="B92" s="16">
        <v>9</v>
      </c>
      <c r="C92" s="17">
        <f>14+18</f>
        <v>32</v>
      </c>
      <c r="D92" s="64">
        <f t="shared" si="11"/>
        <v>41</v>
      </c>
      <c r="E92" s="19">
        <v>0</v>
      </c>
      <c r="F92" s="19">
        <v>0</v>
      </c>
      <c r="G92" s="21">
        <v>0</v>
      </c>
      <c r="H92" s="16">
        <v>9</v>
      </c>
      <c r="I92" s="19">
        <v>0</v>
      </c>
      <c r="J92" s="19"/>
      <c r="K92" s="17">
        <f t="shared" si="12"/>
        <v>9</v>
      </c>
      <c r="L92" s="65">
        <f t="shared" si="13"/>
        <v>32</v>
      </c>
      <c r="M92" s="16">
        <v>5</v>
      </c>
      <c r="N92" s="23"/>
    </row>
    <row r="93" spans="1:14" x14ac:dyDescent="0.2">
      <c r="A93" s="29" t="s">
        <v>99</v>
      </c>
      <c r="B93" s="16">
        <v>9</v>
      </c>
      <c r="C93" s="17">
        <v>9</v>
      </c>
      <c r="D93" s="64">
        <f t="shared" si="11"/>
        <v>18</v>
      </c>
      <c r="E93" s="19">
        <v>0</v>
      </c>
      <c r="F93" s="19">
        <v>0</v>
      </c>
      <c r="G93" s="21">
        <v>9</v>
      </c>
      <c r="H93" s="16">
        <v>0</v>
      </c>
      <c r="I93" s="19">
        <v>9</v>
      </c>
      <c r="J93" s="19"/>
      <c r="K93" s="17">
        <f t="shared" si="12"/>
        <v>18</v>
      </c>
      <c r="L93" s="65">
        <v>0</v>
      </c>
      <c r="M93" s="16">
        <v>0</v>
      </c>
      <c r="N93" s="23"/>
    </row>
    <row r="94" spans="1:14" x14ac:dyDescent="0.2">
      <c r="A94" s="29" t="s">
        <v>100</v>
      </c>
      <c r="B94" s="16">
        <v>0</v>
      </c>
      <c r="C94" s="17"/>
      <c r="D94" s="64">
        <f t="shared" si="11"/>
        <v>0</v>
      </c>
      <c r="E94" s="19">
        <v>0</v>
      </c>
      <c r="F94" s="19">
        <v>0</v>
      </c>
      <c r="G94" s="21">
        <v>0</v>
      </c>
      <c r="H94" s="16">
        <v>0</v>
      </c>
      <c r="I94" s="19">
        <v>0</v>
      </c>
      <c r="J94" s="19"/>
      <c r="K94" s="17">
        <f t="shared" si="12"/>
        <v>0</v>
      </c>
      <c r="L94" s="65">
        <f t="shared" si="13"/>
        <v>0</v>
      </c>
      <c r="M94" s="16">
        <v>0</v>
      </c>
      <c r="N94" s="23"/>
    </row>
    <row r="95" spans="1:14" x14ac:dyDescent="0.2">
      <c r="A95" s="29" t="s">
        <v>101</v>
      </c>
      <c r="B95" s="16">
        <v>0</v>
      </c>
      <c r="C95" s="17"/>
      <c r="D95" s="64">
        <f t="shared" si="11"/>
        <v>0</v>
      </c>
      <c r="E95" s="19">
        <v>0</v>
      </c>
      <c r="F95" s="19">
        <v>0</v>
      </c>
      <c r="G95" s="21">
        <v>0</v>
      </c>
      <c r="H95" s="16">
        <v>0</v>
      </c>
      <c r="I95" s="19">
        <v>0</v>
      </c>
      <c r="J95" s="19"/>
      <c r="K95" s="17">
        <f t="shared" si="12"/>
        <v>0</v>
      </c>
      <c r="L95" s="65">
        <f t="shared" si="13"/>
        <v>0</v>
      </c>
      <c r="M95" s="16">
        <v>0</v>
      </c>
      <c r="N95" s="23"/>
    </row>
    <row r="96" spans="1:14" x14ac:dyDescent="0.2">
      <c r="A96" s="29" t="s">
        <v>102</v>
      </c>
      <c r="B96" s="16">
        <v>0</v>
      </c>
      <c r="C96" s="17"/>
      <c r="D96" s="64">
        <f t="shared" si="11"/>
        <v>0</v>
      </c>
      <c r="E96" s="19">
        <v>0</v>
      </c>
      <c r="F96" s="19">
        <v>0</v>
      </c>
      <c r="G96" s="21">
        <v>0</v>
      </c>
      <c r="H96" s="16">
        <v>0</v>
      </c>
      <c r="I96" s="19">
        <v>9</v>
      </c>
      <c r="J96" s="19"/>
      <c r="K96" s="17">
        <f t="shared" si="12"/>
        <v>9</v>
      </c>
      <c r="L96" s="65">
        <f t="shared" si="13"/>
        <v>-9</v>
      </c>
      <c r="M96" s="16">
        <v>0</v>
      </c>
      <c r="N96" s="23"/>
    </row>
    <row r="97" spans="1:14" x14ac:dyDescent="0.2">
      <c r="A97" s="29" t="s">
        <v>103</v>
      </c>
      <c r="B97" s="16">
        <v>18</v>
      </c>
      <c r="C97" s="17"/>
      <c r="D97" s="64">
        <f t="shared" si="11"/>
        <v>18</v>
      </c>
      <c r="E97" s="19">
        <v>0</v>
      </c>
      <c r="F97" s="19">
        <v>0</v>
      </c>
      <c r="G97" s="21">
        <v>0</v>
      </c>
      <c r="H97" s="16">
        <v>9</v>
      </c>
      <c r="I97" s="19">
        <v>0</v>
      </c>
      <c r="J97" s="19"/>
      <c r="K97" s="17">
        <f t="shared" si="12"/>
        <v>9</v>
      </c>
      <c r="L97" s="65">
        <v>1</v>
      </c>
      <c r="M97" s="16">
        <v>9</v>
      </c>
      <c r="N97" s="23"/>
    </row>
    <row r="98" spans="1:14" x14ac:dyDescent="0.2">
      <c r="A98" s="29" t="s">
        <v>104</v>
      </c>
      <c r="B98" s="16">
        <v>0</v>
      </c>
      <c r="C98" s="17"/>
      <c r="D98" s="64">
        <f t="shared" si="11"/>
        <v>0</v>
      </c>
      <c r="E98" s="19">
        <v>0</v>
      </c>
      <c r="F98" s="19">
        <v>0</v>
      </c>
      <c r="G98" s="21">
        <v>0</v>
      </c>
      <c r="H98" s="16">
        <v>0</v>
      </c>
      <c r="I98" s="19">
        <v>0</v>
      </c>
      <c r="J98" s="19"/>
      <c r="K98" s="17">
        <f t="shared" si="12"/>
        <v>0</v>
      </c>
      <c r="L98" s="65">
        <f t="shared" si="13"/>
        <v>0</v>
      </c>
      <c r="M98" s="16">
        <v>0</v>
      </c>
      <c r="N98" s="23"/>
    </row>
    <row r="99" spans="1:14" x14ac:dyDescent="0.2">
      <c r="A99" s="29" t="s">
        <v>105</v>
      </c>
      <c r="B99" s="16">
        <v>0</v>
      </c>
      <c r="C99" s="17"/>
      <c r="D99" s="64">
        <f>B99+C99</f>
        <v>0</v>
      </c>
      <c r="E99" s="19">
        <v>0</v>
      </c>
      <c r="F99" s="19">
        <v>0</v>
      </c>
      <c r="G99" s="21">
        <v>0</v>
      </c>
      <c r="H99" s="16">
        <v>0</v>
      </c>
      <c r="I99" s="19">
        <v>0</v>
      </c>
      <c r="J99" s="19"/>
      <c r="K99" s="17">
        <f t="shared" si="12"/>
        <v>0</v>
      </c>
      <c r="L99" s="65">
        <f t="shared" si="13"/>
        <v>0</v>
      </c>
      <c r="M99" s="16">
        <v>0</v>
      </c>
      <c r="N99" s="23"/>
    </row>
    <row r="100" spans="1:14" x14ac:dyDescent="0.2">
      <c r="A100" s="29" t="s">
        <v>106</v>
      </c>
      <c r="B100" s="16">
        <v>0</v>
      </c>
      <c r="C100" s="17"/>
      <c r="D100" s="64">
        <f>B100+C100</f>
        <v>0</v>
      </c>
      <c r="E100" s="19">
        <v>0</v>
      </c>
      <c r="F100" s="19">
        <v>0</v>
      </c>
      <c r="G100" s="21">
        <v>0</v>
      </c>
      <c r="H100" s="16">
        <v>0</v>
      </c>
      <c r="I100" s="19">
        <v>0</v>
      </c>
      <c r="J100" s="19"/>
      <c r="K100" s="17">
        <f t="shared" si="12"/>
        <v>0</v>
      </c>
      <c r="L100" s="65">
        <f t="shared" si="13"/>
        <v>0</v>
      </c>
      <c r="M100" s="16">
        <v>0</v>
      </c>
      <c r="N100" s="23"/>
    </row>
    <row r="101" spans="1:14" x14ac:dyDescent="0.2">
      <c r="A101" s="29" t="s">
        <v>107</v>
      </c>
      <c r="B101" s="16">
        <v>0</v>
      </c>
      <c r="C101" s="17"/>
      <c r="D101" s="64">
        <f>B101+C101</f>
        <v>0</v>
      </c>
      <c r="E101" s="19">
        <v>0</v>
      </c>
      <c r="F101" s="19">
        <v>0</v>
      </c>
      <c r="G101" s="21">
        <v>0</v>
      </c>
      <c r="H101" s="16">
        <v>0</v>
      </c>
      <c r="I101" s="19">
        <v>0</v>
      </c>
      <c r="J101" s="19"/>
      <c r="K101" s="17">
        <f t="shared" si="12"/>
        <v>0</v>
      </c>
      <c r="L101" s="65">
        <f t="shared" si="13"/>
        <v>0</v>
      </c>
      <c r="M101" s="16">
        <v>0</v>
      </c>
      <c r="N101" s="23"/>
    </row>
    <row r="102" spans="1:14" x14ac:dyDescent="0.2">
      <c r="A102" s="29" t="s">
        <v>108</v>
      </c>
      <c r="B102" s="16">
        <v>14</v>
      </c>
      <c r="C102" s="17"/>
      <c r="D102" s="64">
        <f t="shared" si="11"/>
        <v>14</v>
      </c>
      <c r="E102" s="19">
        <v>0</v>
      </c>
      <c r="F102" s="19">
        <v>0</v>
      </c>
      <c r="G102" s="21">
        <v>0</v>
      </c>
      <c r="H102" s="16">
        <v>0</v>
      </c>
      <c r="I102" s="19">
        <v>9</v>
      </c>
      <c r="J102" s="19"/>
      <c r="K102" s="17">
        <f t="shared" si="12"/>
        <v>9</v>
      </c>
      <c r="L102" s="65">
        <f t="shared" si="13"/>
        <v>5</v>
      </c>
      <c r="M102" s="16">
        <v>0</v>
      </c>
      <c r="N102" s="23"/>
    </row>
    <row r="103" spans="1:14" x14ac:dyDescent="0.2">
      <c r="A103" s="31" t="s">
        <v>109</v>
      </c>
      <c r="B103" s="16">
        <v>28</v>
      </c>
      <c r="C103" s="17">
        <f>99+100</f>
        <v>199</v>
      </c>
      <c r="D103" s="64">
        <f t="shared" si="11"/>
        <v>227</v>
      </c>
      <c r="E103" s="19">
        <v>42</v>
      </c>
      <c r="F103" s="19">
        <v>12</v>
      </c>
      <c r="G103" s="21">
        <v>36</v>
      </c>
      <c r="H103" s="16">
        <v>6</v>
      </c>
      <c r="I103" s="19">
        <v>36</v>
      </c>
      <c r="J103" s="19"/>
      <c r="K103" s="17">
        <f t="shared" si="12"/>
        <v>132</v>
      </c>
      <c r="L103" s="65">
        <f t="shared" si="13"/>
        <v>95</v>
      </c>
      <c r="M103" s="16">
        <v>33</v>
      </c>
      <c r="N103" s="23"/>
    </row>
    <row r="104" spans="1:14" x14ac:dyDescent="0.2">
      <c r="A104" s="31" t="s">
        <v>110</v>
      </c>
      <c r="B104" s="16">
        <v>43</v>
      </c>
      <c r="C104" s="17">
        <v>46</v>
      </c>
      <c r="D104" s="64">
        <f t="shared" si="11"/>
        <v>89</v>
      </c>
      <c r="E104" s="19">
        <v>0</v>
      </c>
      <c r="F104" s="19">
        <v>12</v>
      </c>
      <c r="G104" s="21">
        <v>12</v>
      </c>
      <c r="H104" s="16">
        <v>6</v>
      </c>
      <c r="I104" s="19">
        <f>6+12</f>
        <v>18</v>
      </c>
      <c r="J104" s="19"/>
      <c r="K104" s="17">
        <f t="shared" si="12"/>
        <v>48</v>
      </c>
      <c r="L104" s="65">
        <f t="shared" si="13"/>
        <v>41</v>
      </c>
      <c r="M104" s="16">
        <v>46</v>
      </c>
      <c r="N104" s="23"/>
    </row>
    <row r="105" spans="1:14" x14ac:dyDescent="0.2">
      <c r="A105" s="31" t="s">
        <v>111</v>
      </c>
      <c r="B105" s="16">
        <v>102</v>
      </c>
      <c r="C105" s="17">
        <v>225</v>
      </c>
      <c r="D105" s="64">
        <f t="shared" si="11"/>
        <v>327</v>
      </c>
      <c r="E105" s="19">
        <f>12+48</f>
        <v>60</v>
      </c>
      <c r="F105" s="19">
        <v>0</v>
      </c>
      <c r="G105" s="21">
        <v>24</v>
      </c>
      <c r="H105" s="16">
        <f>18+24</f>
        <v>42</v>
      </c>
      <c r="I105" s="19">
        <f>36+48</f>
        <v>84</v>
      </c>
      <c r="J105" s="19"/>
      <c r="K105" s="17">
        <f t="shared" si="12"/>
        <v>210</v>
      </c>
      <c r="L105" s="65">
        <f t="shared" si="13"/>
        <v>117</v>
      </c>
      <c r="M105" s="16">
        <v>200</v>
      </c>
      <c r="N105" s="23"/>
    </row>
    <row r="106" spans="1:14" x14ac:dyDescent="0.2">
      <c r="A106" s="31" t="s">
        <v>112</v>
      </c>
      <c r="B106" s="16">
        <v>40</v>
      </c>
      <c r="C106" s="17">
        <v>192</v>
      </c>
      <c r="D106" s="64">
        <f t="shared" si="11"/>
        <v>232</v>
      </c>
      <c r="E106" s="19">
        <f>18+24</f>
        <v>42</v>
      </c>
      <c r="F106" s="19">
        <v>15</v>
      </c>
      <c r="G106" s="21">
        <v>27</v>
      </c>
      <c r="H106" s="16">
        <f>36+36</f>
        <v>72</v>
      </c>
      <c r="I106" s="19">
        <f>30+27</f>
        <v>57</v>
      </c>
      <c r="J106" s="19"/>
      <c r="K106" s="17">
        <f t="shared" si="12"/>
        <v>213</v>
      </c>
      <c r="L106" s="65">
        <f t="shared" si="13"/>
        <v>19</v>
      </c>
      <c r="M106" s="16">
        <v>36</v>
      </c>
      <c r="N106" s="23"/>
    </row>
    <row r="107" spans="1:14" x14ac:dyDescent="0.2">
      <c r="A107" s="31" t="s">
        <v>113</v>
      </c>
      <c r="B107" s="16">
        <v>41</v>
      </c>
      <c r="C107" s="17">
        <v>109</v>
      </c>
      <c r="D107" s="64">
        <f>B107+C107</f>
        <v>150</v>
      </c>
      <c r="E107" s="19">
        <v>9</v>
      </c>
      <c r="F107" s="19">
        <v>0</v>
      </c>
      <c r="G107" s="21">
        <v>45</v>
      </c>
      <c r="H107" s="16">
        <v>36</v>
      </c>
      <c r="I107" s="19">
        <v>18</v>
      </c>
      <c r="J107" s="19"/>
      <c r="K107" s="17">
        <f t="shared" si="12"/>
        <v>108</v>
      </c>
      <c r="L107" s="65">
        <f t="shared" si="13"/>
        <v>42</v>
      </c>
      <c r="M107" s="16">
        <v>36</v>
      </c>
      <c r="N107" s="23"/>
    </row>
    <row r="108" spans="1:14" x14ac:dyDescent="0.2">
      <c r="A108" s="31" t="s">
        <v>114</v>
      </c>
      <c r="B108" s="16">
        <v>34</v>
      </c>
      <c r="C108" s="17"/>
      <c r="D108" s="64">
        <f>B108+C108</f>
        <v>34</v>
      </c>
      <c r="E108" s="19">
        <v>9</v>
      </c>
      <c r="F108" s="19">
        <v>0</v>
      </c>
      <c r="G108" s="21">
        <v>9</v>
      </c>
      <c r="H108" s="16">
        <v>0</v>
      </c>
      <c r="I108" s="19">
        <v>9</v>
      </c>
      <c r="J108" s="19"/>
      <c r="K108" s="17">
        <f t="shared" si="12"/>
        <v>27</v>
      </c>
      <c r="L108" s="65">
        <f t="shared" si="13"/>
        <v>7</v>
      </c>
      <c r="M108" s="16">
        <v>0</v>
      </c>
      <c r="N108" s="23"/>
    </row>
    <row r="109" spans="1:14" x14ac:dyDescent="0.2">
      <c r="A109" s="34" t="s">
        <v>115</v>
      </c>
      <c r="B109" s="16">
        <v>0</v>
      </c>
      <c r="C109" s="17"/>
      <c r="D109" s="64">
        <f t="shared" si="11"/>
        <v>0</v>
      </c>
      <c r="E109" s="19">
        <v>0</v>
      </c>
      <c r="F109" s="19">
        <v>0</v>
      </c>
      <c r="G109" s="21">
        <v>0</v>
      </c>
      <c r="H109" s="16">
        <v>0</v>
      </c>
      <c r="I109" s="19">
        <v>0</v>
      </c>
      <c r="J109" s="19"/>
      <c r="K109" s="17">
        <f t="shared" si="12"/>
        <v>0</v>
      </c>
      <c r="L109" s="65">
        <f t="shared" si="13"/>
        <v>0</v>
      </c>
      <c r="M109" s="16">
        <v>0</v>
      </c>
      <c r="N109" s="23"/>
    </row>
    <row r="110" spans="1:14" x14ac:dyDescent="0.2">
      <c r="A110" s="34" t="s">
        <v>116</v>
      </c>
      <c r="B110" s="16">
        <v>0</v>
      </c>
      <c r="C110" s="17"/>
      <c r="D110" s="64">
        <f t="shared" si="11"/>
        <v>0</v>
      </c>
      <c r="E110" s="19">
        <v>0</v>
      </c>
      <c r="F110" s="19">
        <v>0</v>
      </c>
      <c r="G110" s="21">
        <v>0</v>
      </c>
      <c r="H110" s="16">
        <v>0</v>
      </c>
      <c r="I110" s="19">
        <v>0</v>
      </c>
      <c r="J110" s="19"/>
      <c r="K110" s="17">
        <f t="shared" si="12"/>
        <v>0</v>
      </c>
      <c r="L110" s="65">
        <f t="shared" si="13"/>
        <v>0</v>
      </c>
      <c r="M110" s="16">
        <v>0</v>
      </c>
      <c r="N110" s="23"/>
    </row>
    <row r="111" spans="1:14" x14ac:dyDescent="0.2">
      <c r="A111" s="34" t="s">
        <v>117</v>
      </c>
      <c r="B111" s="16">
        <v>0</v>
      </c>
      <c r="C111" s="17"/>
      <c r="D111" s="64">
        <f t="shared" si="11"/>
        <v>0</v>
      </c>
      <c r="E111" s="19">
        <v>0</v>
      </c>
      <c r="F111" s="19">
        <v>0</v>
      </c>
      <c r="G111" s="21">
        <v>0</v>
      </c>
      <c r="H111" s="16">
        <v>0</v>
      </c>
      <c r="I111" s="19">
        <v>0</v>
      </c>
      <c r="J111" s="19"/>
      <c r="K111" s="17">
        <f t="shared" si="12"/>
        <v>0</v>
      </c>
      <c r="L111" s="65">
        <f t="shared" si="13"/>
        <v>0</v>
      </c>
      <c r="M111" s="16">
        <v>0</v>
      </c>
      <c r="N111" s="23"/>
    </row>
    <row r="112" spans="1:14" x14ac:dyDescent="0.2">
      <c r="A112" s="31" t="s">
        <v>118</v>
      </c>
      <c r="B112" s="16">
        <v>29</v>
      </c>
      <c r="C112" s="17">
        <v>50</v>
      </c>
      <c r="D112" s="64">
        <f t="shared" si="11"/>
        <v>79</v>
      </c>
      <c r="E112" s="19">
        <v>0</v>
      </c>
      <c r="F112" s="19">
        <v>0</v>
      </c>
      <c r="G112" s="21">
        <v>9</v>
      </c>
      <c r="H112" s="16">
        <v>0</v>
      </c>
      <c r="I112" s="19">
        <v>9</v>
      </c>
      <c r="J112" s="19"/>
      <c r="K112" s="17">
        <f t="shared" si="12"/>
        <v>18</v>
      </c>
      <c r="L112" s="65">
        <f t="shared" si="13"/>
        <v>61</v>
      </c>
      <c r="M112" s="16">
        <v>19</v>
      </c>
      <c r="N112" s="23"/>
    </row>
    <row r="113" spans="1:14" x14ac:dyDescent="0.2">
      <c r="A113" s="31" t="s">
        <v>119</v>
      </c>
      <c r="B113" s="16">
        <v>313</v>
      </c>
      <c r="C113" s="17">
        <f>530+220</f>
        <v>750</v>
      </c>
      <c r="D113" s="64">
        <f t="shared" si="11"/>
        <v>1063</v>
      </c>
      <c r="E113" s="19">
        <f>99+72+54</f>
        <v>225</v>
      </c>
      <c r="F113" s="19">
        <f>6+27</f>
        <v>33</v>
      </c>
      <c r="G113" s="21">
        <f>75+63</f>
        <v>138</v>
      </c>
      <c r="H113" s="16">
        <f>132+54</f>
        <v>186</v>
      </c>
      <c r="I113" s="19">
        <f>135+36</f>
        <v>171</v>
      </c>
      <c r="J113" s="19"/>
      <c r="K113" s="17">
        <f t="shared" si="12"/>
        <v>753</v>
      </c>
      <c r="L113" s="65">
        <f t="shared" si="13"/>
        <v>310</v>
      </c>
      <c r="M113" s="16">
        <f>26+182+396</f>
        <v>604</v>
      </c>
      <c r="N113" s="23"/>
    </row>
    <row r="114" spans="1:14" x14ac:dyDescent="0.2">
      <c r="A114" s="31" t="s">
        <v>120</v>
      </c>
      <c r="B114" s="16">
        <v>0</v>
      </c>
      <c r="D114" s="64">
        <f t="shared" si="11"/>
        <v>0</v>
      </c>
      <c r="E114" s="19">
        <v>0</v>
      </c>
      <c r="F114" s="19">
        <v>0</v>
      </c>
      <c r="G114" s="21">
        <v>0</v>
      </c>
      <c r="H114" s="16">
        <v>0</v>
      </c>
      <c r="I114" s="19">
        <v>0</v>
      </c>
      <c r="J114" s="19"/>
      <c r="K114" s="17">
        <f t="shared" si="12"/>
        <v>0</v>
      </c>
      <c r="L114" s="65">
        <f t="shared" si="13"/>
        <v>0</v>
      </c>
      <c r="M114" s="16">
        <v>0</v>
      </c>
      <c r="N114" s="23"/>
    </row>
    <row r="115" spans="1:14" x14ac:dyDescent="0.2">
      <c r="A115" s="31" t="s">
        <v>44</v>
      </c>
      <c r="B115" s="16">
        <v>18</v>
      </c>
      <c r="C115" s="17"/>
      <c r="D115" s="64">
        <f>B115+C115</f>
        <v>18</v>
      </c>
      <c r="E115" s="19">
        <v>0</v>
      </c>
      <c r="F115" s="19">
        <v>0</v>
      </c>
      <c r="G115" s="21">
        <v>0</v>
      </c>
      <c r="H115" s="16">
        <v>0</v>
      </c>
      <c r="I115" s="19">
        <v>9</v>
      </c>
      <c r="J115" s="19"/>
      <c r="K115" s="17">
        <f t="shared" si="12"/>
        <v>9</v>
      </c>
      <c r="L115" s="65">
        <f t="shared" si="13"/>
        <v>9</v>
      </c>
      <c r="M115" s="16">
        <v>18</v>
      </c>
      <c r="N115" s="23"/>
    </row>
    <row r="116" spans="1:14" x14ac:dyDescent="0.2">
      <c r="A116" s="31" t="s">
        <v>121</v>
      </c>
      <c r="B116" s="16">
        <f>23+126+238+118</f>
        <v>505</v>
      </c>
      <c r="C116" s="17">
        <v>115</v>
      </c>
      <c r="D116" s="64">
        <f>B116+C116</f>
        <v>620</v>
      </c>
      <c r="E116" s="19">
        <f>18+48</f>
        <v>66</v>
      </c>
      <c r="F116" s="19">
        <v>15</v>
      </c>
      <c r="G116" s="21">
        <v>36</v>
      </c>
      <c r="H116" s="16">
        <f>45+18</f>
        <v>63</v>
      </c>
      <c r="I116" s="19">
        <f>96+36</f>
        <v>132</v>
      </c>
      <c r="J116" s="19"/>
      <c r="K116" s="17">
        <f t="shared" si="12"/>
        <v>312</v>
      </c>
      <c r="L116" s="65">
        <f t="shared" si="13"/>
        <v>308</v>
      </c>
      <c r="M116" s="16">
        <v>252</v>
      </c>
      <c r="N116" s="23"/>
    </row>
    <row r="117" spans="1:14" x14ac:dyDescent="0.2">
      <c r="A117" s="31" t="s">
        <v>122</v>
      </c>
      <c r="B117" s="16">
        <f>198+87+93</f>
        <v>378</v>
      </c>
      <c r="C117" s="17"/>
      <c r="D117" s="64">
        <f t="shared" si="11"/>
        <v>378</v>
      </c>
      <c r="E117" s="19">
        <v>24</v>
      </c>
      <c r="F117" s="19">
        <v>0</v>
      </c>
      <c r="G117" s="21">
        <v>15</v>
      </c>
      <c r="H117" s="16">
        <v>18</v>
      </c>
      <c r="I117" s="19">
        <f>24+9</f>
        <v>33</v>
      </c>
      <c r="J117" s="19"/>
      <c r="K117" s="17">
        <f t="shared" si="12"/>
        <v>90</v>
      </c>
      <c r="L117" s="65">
        <f t="shared" si="13"/>
        <v>288</v>
      </c>
      <c r="M117" s="16">
        <v>324</v>
      </c>
      <c r="N117" s="23"/>
    </row>
    <row r="118" spans="1:14" x14ac:dyDescent="0.2">
      <c r="A118" s="31" t="s">
        <v>123</v>
      </c>
      <c r="B118" s="17">
        <v>0</v>
      </c>
      <c r="C118" s="17">
        <f>502+35</f>
        <v>537</v>
      </c>
      <c r="D118" s="64">
        <f t="shared" si="11"/>
        <v>537</v>
      </c>
      <c r="E118" s="19">
        <v>78</v>
      </c>
      <c r="F118" s="19">
        <v>0</v>
      </c>
      <c r="G118" s="21">
        <f>24+18</f>
        <v>42</v>
      </c>
      <c r="H118" s="16">
        <v>36</v>
      </c>
      <c r="I118" s="19">
        <f>78+81</f>
        <v>159</v>
      </c>
      <c r="J118" s="19"/>
      <c r="K118" s="17">
        <f t="shared" si="12"/>
        <v>315</v>
      </c>
      <c r="L118" s="65">
        <f t="shared" si="13"/>
        <v>222</v>
      </c>
      <c r="M118" s="17">
        <v>378</v>
      </c>
      <c r="N118" s="23"/>
    </row>
    <row r="119" spans="1:14" x14ac:dyDescent="0.2">
      <c r="A119" s="31" t="s">
        <v>124</v>
      </c>
      <c r="B119" s="17">
        <v>0</v>
      </c>
      <c r="C119" s="17"/>
      <c r="D119" s="64">
        <f t="shared" si="11"/>
        <v>0</v>
      </c>
      <c r="E119" s="19">
        <v>0</v>
      </c>
      <c r="F119" s="19">
        <v>0</v>
      </c>
      <c r="G119" s="21">
        <v>0</v>
      </c>
      <c r="H119" s="16">
        <v>0</v>
      </c>
      <c r="I119" s="19">
        <v>0</v>
      </c>
      <c r="J119" s="19"/>
      <c r="K119" s="17">
        <f t="shared" si="12"/>
        <v>0</v>
      </c>
      <c r="L119" s="65">
        <f t="shared" si="13"/>
        <v>0</v>
      </c>
      <c r="M119" s="17">
        <v>0</v>
      </c>
      <c r="N119" s="23"/>
    </row>
    <row r="120" spans="1:14" x14ac:dyDescent="0.2">
      <c r="A120" s="31" t="s">
        <v>125</v>
      </c>
      <c r="B120" s="17">
        <v>0</v>
      </c>
      <c r="C120" s="17"/>
      <c r="D120" s="64">
        <f t="shared" si="11"/>
        <v>0</v>
      </c>
      <c r="E120" s="19">
        <v>0</v>
      </c>
      <c r="F120" s="19">
        <v>0</v>
      </c>
      <c r="G120" s="21">
        <v>0</v>
      </c>
      <c r="H120" s="16">
        <v>0</v>
      </c>
      <c r="I120" s="19">
        <v>0</v>
      </c>
      <c r="J120" s="19"/>
      <c r="K120" s="17">
        <f t="shared" si="12"/>
        <v>0</v>
      </c>
      <c r="L120" s="65">
        <f t="shared" si="13"/>
        <v>0</v>
      </c>
      <c r="M120" s="17">
        <v>0</v>
      </c>
      <c r="N120" s="23"/>
    </row>
    <row r="121" spans="1:14" x14ac:dyDescent="0.2">
      <c r="A121" s="31" t="s">
        <v>126</v>
      </c>
      <c r="B121" s="17">
        <v>0</v>
      </c>
      <c r="C121" s="17">
        <f>22+9</f>
        <v>31</v>
      </c>
      <c r="D121" s="64">
        <f t="shared" si="11"/>
        <v>31</v>
      </c>
      <c r="E121" s="19">
        <v>54</v>
      </c>
      <c r="F121" s="19">
        <v>0</v>
      </c>
      <c r="G121" s="21">
        <v>18</v>
      </c>
      <c r="H121" s="16">
        <v>18</v>
      </c>
      <c r="I121" s="19">
        <v>18</v>
      </c>
      <c r="J121" s="19"/>
      <c r="K121" s="17">
        <f t="shared" si="12"/>
        <v>108</v>
      </c>
      <c r="L121" s="65">
        <f t="shared" si="13"/>
        <v>-77</v>
      </c>
      <c r="M121" s="17">
        <v>0</v>
      </c>
      <c r="N121" s="23"/>
    </row>
    <row r="122" spans="1:14" x14ac:dyDescent="0.2">
      <c r="A122" s="31" t="s">
        <v>127</v>
      </c>
      <c r="B122" s="17">
        <v>0</v>
      </c>
      <c r="C122" s="17"/>
      <c r="D122" s="64">
        <f t="shared" si="11"/>
        <v>0</v>
      </c>
      <c r="E122" s="19">
        <v>0</v>
      </c>
      <c r="F122" s="19">
        <v>0</v>
      </c>
      <c r="G122" s="21">
        <v>0</v>
      </c>
      <c r="H122" s="16">
        <v>0</v>
      </c>
      <c r="I122" s="19">
        <v>0</v>
      </c>
      <c r="J122" s="19"/>
      <c r="K122" s="17">
        <f t="shared" si="12"/>
        <v>0</v>
      </c>
      <c r="L122" s="65">
        <f t="shared" si="13"/>
        <v>0</v>
      </c>
      <c r="M122" s="17">
        <v>0</v>
      </c>
      <c r="N122" s="23"/>
    </row>
    <row r="123" spans="1:14" x14ac:dyDescent="0.2">
      <c r="A123" s="31" t="s">
        <v>128</v>
      </c>
      <c r="B123" s="17">
        <v>9</v>
      </c>
      <c r="C123" s="17"/>
      <c r="D123" s="64">
        <f t="shared" si="11"/>
        <v>9</v>
      </c>
      <c r="E123" s="19">
        <v>9</v>
      </c>
      <c r="F123" s="19">
        <v>0</v>
      </c>
      <c r="G123" s="21">
        <v>9</v>
      </c>
      <c r="H123" s="16">
        <v>0</v>
      </c>
      <c r="I123" s="19">
        <v>0</v>
      </c>
      <c r="J123" s="19"/>
      <c r="K123" s="17">
        <f t="shared" si="12"/>
        <v>18</v>
      </c>
      <c r="L123" s="65">
        <f t="shared" si="13"/>
        <v>-9</v>
      </c>
      <c r="M123" s="17">
        <v>0</v>
      </c>
      <c r="N123" s="23"/>
    </row>
    <row r="124" spans="1:14" x14ac:dyDescent="0.2">
      <c r="A124" s="27" t="s">
        <v>129</v>
      </c>
      <c r="B124" s="17">
        <v>0</v>
      </c>
      <c r="C124" s="17"/>
      <c r="D124" s="64">
        <f>B124+C124</f>
        <v>0</v>
      </c>
      <c r="E124" s="19">
        <f>54+141</f>
        <v>195</v>
      </c>
      <c r="F124" s="19">
        <v>21</v>
      </c>
      <c r="G124" s="21">
        <f>87+189</f>
        <v>276</v>
      </c>
      <c r="H124" s="16">
        <f>159+72</f>
        <v>231</v>
      </c>
      <c r="I124" s="19">
        <f>66+126</f>
        <v>192</v>
      </c>
      <c r="J124" s="19"/>
      <c r="K124" s="17">
        <f t="shared" si="12"/>
        <v>915</v>
      </c>
      <c r="L124" s="65">
        <f t="shared" si="13"/>
        <v>-915</v>
      </c>
      <c r="M124" s="17">
        <v>0</v>
      </c>
      <c r="N124" s="23"/>
    </row>
    <row r="125" spans="1:14" x14ac:dyDescent="0.2">
      <c r="A125" s="27" t="s">
        <v>130</v>
      </c>
      <c r="B125" s="17">
        <v>0</v>
      </c>
      <c r="C125" s="17"/>
      <c r="D125" s="64">
        <f>B125+C125</f>
        <v>0</v>
      </c>
      <c r="E125" s="19">
        <v>0</v>
      </c>
      <c r="F125" s="19">
        <v>0</v>
      </c>
      <c r="G125" s="21">
        <v>0</v>
      </c>
      <c r="H125" s="16">
        <v>0</v>
      </c>
      <c r="I125" s="19">
        <v>36</v>
      </c>
      <c r="J125" s="19"/>
      <c r="K125" s="17">
        <f t="shared" si="12"/>
        <v>36</v>
      </c>
      <c r="L125" s="65">
        <f t="shared" si="13"/>
        <v>-36</v>
      </c>
      <c r="M125" s="17">
        <v>0</v>
      </c>
      <c r="N125" s="23"/>
    </row>
    <row r="126" spans="1:14" x14ac:dyDescent="0.2">
      <c r="A126" s="27" t="s">
        <v>51</v>
      </c>
      <c r="B126" s="17">
        <v>0</v>
      </c>
      <c r="C126" s="17"/>
      <c r="D126" s="64">
        <f>B126+C126</f>
        <v>0</v>
      </c>
      <c r="E126" s="19">
        <v>36</v>
      </c>
      <c r="F126" s="19">
        <v>0</v>
      </c>
      <c r="G126" s="21">
        <v>0</v>
      </c>
      <c r="H126" s="16">
        <v>99</v>
      </c>
      <c r="I126" s="19">
        <f>36+18</f>
        <v>54</v>
      </c>
      <c r="J126" s="19"/>
      <c r="K126" s="17">
        <f t="shared" si="12"/>
        <v>189</v>
      </c>
      <c r="L126" s="65">
        <f t="shared" si="13"/>
        <v>-189</v>
      </c>
      <c r="M126" s="17">
        <v>0</v>
      </c>
      <c r="N126" s="23"/>
    </row>
    <row r="127" spans="1:14" x14ac:dyDescent="0.2">
      <c r="A127" s="27" t="s">
        <v>52</v>
      </c>
      <c r="B127" s="17">
        <v>0</v>
      </c>
      <c r="C127" s="17"/>
      <c r="D127" s="64">
        <f>B127+C127</f>
        <v>0</v>
      </c>
      <c r="E127" s="19">
        <v>792</v>
      </c>
      <c r="F127" s="19">
        <v>0</v>
      </c>
      <c r="G127" s="21">
        <v>477</v>
      </c>
      <c r="H127" s="16">
        <v>2809</v>
      </c>
      <c r="I127" s="19">
        <v>495</v>
      </c>
      <c r="J127" s="19"/>
      <c r="K127" s="17">
        <f t="shared" si="12"/>
        <v>4573</v>
      </c>
      <c r="L127" s="65">
        <f t="shared" si="13"/>
        <v>-4573</v>
      </c>
      <c r="M127" s="17">
        <v>0</v>
      </c>
      <c r="N127" s="23"/>
    </row>
    <row r="128" spans="1:14" x14ac:dyDescent="0.2">
      <c r="A128" s="33" t="s">
        <v>53</v>
      </c>
      <c r="B128" s="17">
        <v>0</v>
      </c>
      <c r="C128" s="17"/>
      <c r="D128" s="64">
        <f t="shared" si="11"/>
        <v>0</v>
      </c>
      <c r="E128" s="19">
        <v>0</v>
      </c>
      <c r="F128" s="19">
        <v>0</v>
      </c>
      <c r="G128" s="21">
        <v>0</v>
      </c>
      <c r="H128" s="16">
        <v>0</v>
      </c>
      <c r="I128" s="19">
        <v>0</v>
      </c>
      <c r="J128" s="19"/>
      <c r="K128" s="17">
        <f t="shared" si="12"/>
        <v>0</v>
      </c>
      <c r="L128" s="65">
        <f t="shared" si="13"/>
        <v>0</v>
      </c>
      <c r="M128" s="17">
        <v>0</v>
      </c>
      <c r="N128" s="23"/>
    </row>
    <row r="129" spans="1:14" x14ac:dyDescent="0.2">
      <c r="A129" s="33" t="s">
        <v>54</v>
      </c>
      <c r="B129" s="17">
        <v>0</v>
      </c>
      <c r="C129" s="17"/>
      <c r="D129" s="64">
        <f t="shared" si="11"/>
        <v>0</v>
      </c>
      <c r="E129" s="19">
        <v>0</v>
      </c>
      <c r="F129" s="19">
        <v>0</v>
      </c>
      <c r="G129" s="21">
        <v>0</v>
      </c>
      <c r="H129" s="16">
        <v>0</v>
      </c>
      <c r="I129" s="19">
        <v>0</v>
      </c>
      <c r="J129" s="19"/>
      <c r="K129" s="17">
        <f t="shared" si="12"/>
        <v>0</v>
      </c>
      <c r="L129" s="65">
        <f t="shared" si="13"/>
        <v>0</v>
      </c>
      <c r="M129" s="17">
        <v>0</v>
      </c>
      <c r="N129" s="23"/>
    </row>
    <row r="130" spans="1:14" x14ac:dyDescent="0.2">
      <c r="A130" s="33" t="s">
        <v>55</v>
      </c>
      <c r="B130" s="17">
        <v>0</v>
      </c>
      <c r="C130" s="17"/>
      <c r="D130" s="64">
        <f t="shared" si="11"/>
        <v>0</v>
      </c>
      <c r="E130" s="19">
        <v>0</v>
      </c>
      <c r="F130" s="19">
        <v>0</v>
      </c>
      <c r="G130" s="21">
        <v>0</v>
      </c>
      <c r="H130" s="16">
        <v>0</v>
      </c>
      <c r="I130" s="19">
        <v>0</v>
      </c>
      <c r="J130" s="19"/>
      <c r="K130" s="17">
        <f t="shared" si="12"/>
        <v>0</v>
      </c>
      <c r="L130" s="65">
        <f t="shared" si="13"/>
        <v>0</v>
      </c>
      <c r="M130" s="17">
        <v>0</v>
      </c>
      <c r="N130" s="23"/>
    </row>
    <row r="131" spans="1:14" x14ac:dyDescent="0.2">
      <c r="A131" s="34" t="s">
        <v>131</v>
      </c>
      <c r="B131" s="17">
        <v>17</v>
      </c>
      <c r="C131" s="17"/>
      <c r="D131" s="64">
        <f>B131+C131</f>
        <v>17</v>
      </c>
      <c r="E131" s="19">
        <v>0</v>
      </c>
      <c r="F131" s="19">
        <v>0</v>
      </c>
      <c r="G131" s="21">
        <v>0</v>
      </c>
      <c r="H131" s="16">
        <v>0</v>
      </c>
      <c r="I131" s="19">
        <v>0</v>
      </c>
      <c r="J131" s="19"/>
      <c r="K131" s="17">
        <f t="shared" si="12"/>
        <v>0</v>
      </c>
      <c r="L131" s="65">
        <f t="shared" si="13"/>
        <v>17</v>
      </c>
      <c r="M131" s="17">
        <v>0</v>
      </c>
      <c r="N131" s="23"/>
    </row>
    <row r="132" spans="1:14" x14ac:dyDescent="0.2">
      <c r="A132" s="34" t="s">
        <v>57</v>
      </c>
      <c r="B132" s="17">
        <v>0</v>
      </c>
      <c r="C132" s="17">
        <f>18+12</f>
        <v>30</v>
      </c>
      <c r="D132" s="64">
        <f>B132+C132</f>
        <v>30</v>
      </c>
      <c r="E132" s="19">
        <v>0</v>
      </c>
      <c r="F132" s="19">
        <v>0</v>
      </c>
      <c r="G132" s="21">
        <v>0</v>
      </c>
      <c r="H132" s="16">
        <v>0</v>
      </c>
      <c r="I132" s="19">
        <v>0</v>
      </c>
      <c r="J132" s="19"/>
      <c r="K132" s="17">
        <f t="shared" si="12"/>
        <v>0</v>
      </c>
      <c r="L132" s="65">
        <f t="shared" si="13"/>
        <v>30</v>
      </c>
      <c r="M132" s="17">
        <v>12</v>
      </c>
      <c r="N132" s="23"/>
    </row>
    <row r="133" spans="1:14" x14ac:dyDescent="0.2">
      <c r="A133" s="34" t="s">
        <v>58</v>
      </c>
      <c r="B133" s="17">
        <v>0</v>
      </c>
      <c r="C133" s="17">
        <v>12</v>
      </c>
      <c r="D133" s="64">
        <f>B133+C133</f>
        <v>12</v>
      </c>
      <c r="E133" s="19">
        <v>0</v>
      </c>
      <c r="F133" s="19">
        <v>0</v>
      </c>
      <c r="G133" s="21">
        <v>0</v>
      </c>
      <c r="H133" s="16">
        <v>12</v>
      </c>
      <c r="I133" s="19">
        <v>9</v>
      </c>
      <c r="J133" s="19"/>
      <c r="K133" s="17">
        <f t="shared" si="12"/>
        <v>21</v>
      </c>
      <c r="L133" s="65">
        <f t="shared" si="13"/>
        <v>-9</v>
      </c>
      <c r="M133" s="17">
        <v>0</v>
      </c>
      <c r="N133" s="23"/>
    </row>
    <row r="134" spans="1:14" x14ac:dyDescent="0.2">
      <c r="A134" s="34" t="s">
        <v>59</v>
      </c>
      <c r="B134" s="17">
        <v>0</v>
      </c>
      <c r="C134" s="17">
        <v>3</v>
      </c>
      <c r="D134" s="64">
        <f>B134+C134</f>
        <v>3</v>
      </c>
      <c r="E134" s="19">
        <v>0</v>
      </c>
      <c r="F134" s="19">
        <v>0</v>
      </c>
      <c r="G134" s="21">
        <v>0</v>
      </c>
      <c r="H134" s="16">
        <v>0</v>
      </c>
      <c r="I134" s="19">
        <v>9</v>
      </c>
      <c r="J134" s="19"/>
      <c r="K134" s="17">
        <f t="shared" si="12"/>
        <v>9</v>
      </c>
      <c r="L134" s="65">
        <f t="shared" si="13"/>
        <v>-6</v>
      </c>
      <c r="M134" s="17">
        <v>0</v>
      </c>
      <c r="N134" s="23"/>
    </row>
    <row r="135" spans="1:14" x14ac:dyDescent="0.2">
      <c r="A135" s="34" t="s">
        <v>60</v>
      </c>
      <c r="B135" s="17">
        <v>0</v>
      </c>
      <c r="C135" s="17"/>
      <c r="D135" s="64">
        <f>B135+C135</f>
        <v>0</v>
      </c>
      <c r="E135" s="19">
        <v>0</v>
      </c>
      <c r="F135" s="19">
        <v>0</v>
      </c>
      <c r="G135" s="21">
        <v>18</v>
      </c>
      <c r="H135" s="16">
        <v>0</v>
      </c>
      <c r="I135" s="19">
        <v>0</v>
      </c>
      <c r="J135" s="19"/>
      <c r="K135" s="17">
        <f t="shared" si="12"/>
        <v>18</v>
      </c>
      <c r="L135" s="65">
        <f t="shared" si="13"/>
        <v>-18</v>
      </c>
      <c r="M135" s="17">
        <v>0</v>
      </c>
      <c r="N135" s="23"/>
    </row>
    <row r="136" spans="1:14" x14ac:dyDescent="0.2">
      <c r="A136" s="36"/>
      <c r="B136" s="37"/>
      <c r="C136" s="67"/>
      <c r="D136" s="68"/>
      <c r="E136" s="45"/>
      <c r="F136" s="69"/>
      <c r="G136" s="70"/>
      <c r="I136" s="45"/>
      <c r="J136" s="69"/>
      <c r="K136" s="42"/>
      <c r="L136" s="71"/>
      <c r="M136" s="37"/>
    </row>
    <row r="137" spans="1:14" ht="33.75" customHeight="1" x14ac:dyDescent="0.2">
      <c r="A137" s="13" t="s">
        <v>88</v>
      </c>
      <c r="B137" s="9" t="s">
        <v>3</v>
      </c>
      <c r="C137" s="44" t="s">
        <v>4</v>
      </c>
      <c r="D137" s="13" t="s">
        <v>5</v>
      </c>
      <c r="E137" s="45" t="s">
        <v>6</v>
      </c>
      <c r="F137" s="45" t="s">
        <v>7</v>
      </c>
      <c r="G137" s="12" t="s">
        <v>8</v>
      </c>
      <c r="H137" s="13" t="s">
        <v>9</v>
      </c>
      <c r="I137" s="45" t="s">
        <v>10</v>
      </c>
      <c r="J137" s="45" t="s">
        <v>11</v>
      </c>
      <c r="K137" s="13" t="s">
        <v>12</v>
      </c>
      <c r="L137" s="14" t="s">
        <v>13</v>
      </c>
      <c r="M137" s="13" t="s">
        <v>132</v>
      </c>
    </row>
    <row r="138" spans="1:14" x14ac:dyDescent="0.2">
      <c r="A138" s="31" t="s">
        <v>133</v>
      </c>
      <c r="B138" s="17">
        <f>144+288+127</f>
        <v>559</v>
      </c>
      <c r="C138" s="17"/>
      <c r="D138" s="64">
        <f t="shared" ref="D138:D144" si="14">B138+C138</f>
        <v>559</v>
      </c>
      <c r="E138" s="19">
        <v>0</v>
      </c>
      <c r="F138" s="19">
        <v>0</v>
      </c>
      <c r="G138" s="21">
        <v>0</v>
      </c>
      <c r="H138" s="16">
        <v>18</v>
      </c>
      <c r="I138" s="19">
        <v>0</v>
      </c>
      <c r="J138" s="19"/>
      <c r="K138" s="17">
        <f t="shared" ref="K138:K149" si="15">E138+F138+G138+H138+I138+J138</f>
        <v>18</v>
      </c>
      <c r="L138" s="65">
        <f t="shared" ref="L138:L149" si="16">D138-K138</f>
        <v>541</v>
      </c>
      <c r="M138" s="17"/>
      <c r="N138" s="23"/>
    </row>
    <row r="139" spans="1:14" x14ac:dyDescent="0.2">
      <c r="A139" s="31" t="s">
        <v>134</v>
      </c>
      <c r="B139" s="17">
        <v>49</v>
      </c>
      <c r="C139" s="17"/>
      <c r="D139" s="64">
        <f t="shared" si="14"/>
        <v>49</v>
      </c>
      <c r="E139" s="19">
        <v>0</v>
      </c>
      <c r="F139" s="19">
        <v>0</v>
      </c>
      <c r="G139" s="21">
        <v>0</v>
      </c>
      <c r="H139" s="16">
        <v>0</v>
      </c>
      <c r="I139" s="19">
        <v>0</v>
      </c>
      <c r="J139" s="19"/>
      <c r="K139" s="17">
        <f t="shared" si="15"/>
        <v>0</v>
      </c>
      <c r="L139" s="65">
        <f>D139-K139</f>
        <v>49</v>
      </c>
      <c r="M139" s="17"/>
      <c r="N139" s="23"/>
    </row>
    <row r="140" spans="1:14" x14ac:dyDescent="0.2">
      <c r="A140" s="31" t="s">
        <v>135</v>
      </c>
      <c r="B140" s="17">
        <v>0</v>
      </c>
      <c r="C140" s="17"/>
      <c r="D140" s="64">
        <f t="shared" si="14"/>
        <v>0</v>
      </c>
      <c r="E140" s="19">
        <v>0</v>
      </c>
      <c r="F140" s="19">
        <v>0</v>
      </c>
      <c r="G140" s="21">
        <v>0</v>
      </c>
      <c r="H140" s="16">
        <v>0</v>
      </c>
      <c r="I140" s="19">
        <v>0</v>
      </c>
      <c r="J140" s="19"/>
      <c r="K140" s="17">
        <f t="shared" si="15"/>
        <v>0</v>
      </c>
      <c r="L140" s="65">
        <f t="shared" si="16"/>
        <v>0</v>
      </c>
      <c r="M140" s="17"/>
      <c r="N140" s="23"/>
    </row>
    <row r="141" spans="1:14" x14ac:dyDescent="0.2">
      <c r="A141" s="31" t="s">
        <v>136</v>
      </c>
      <c r="B141" s="17">
        <f>110+124</f>
        <v>234</v>
      </c>
      <c r="C141" s="17"/>
      <c r="D141" s="64">
        <f t="shared" si="14"/>
        <v>234</v>
      </c>
      <c r="E141" s="19">
        <v>0</v>
      </c>
      <c r="F141" s="19">
        <v>0</v>
      </c>
      <c r="G141" s="21">
        <v>18</v>
      </c>
      <c r="H141" s="16">
        <v>9</v>
      </c>
      <c r="I141" s="19">
        <v>0</v>
      </c>
      <c r="J141" s="19"/>
      <c r="K141" s="17">
        <f t="shared" si="15"/>
        <v>27</v>
      </c>
      <c r="L141" s="65">
        <f t="shared" si="16"/>
        <v>207</v>
      </c>
      <c r="M141" s="17"/>
      <c r="N141" s="23"/>
    </row>
    <row r="142" spans="1:14" x14ac:dyDescent="0.2">
      <c r="A142" s="31" t="s">
        <v>137</v>
      </c>
      <c r="B142" s="17">
        <v>318</v>
      </c>
      <c r="C142" s="17">
        <v>172</v>
      </c>
      <c r="D142" s="64">
        <f t="shared" si="14"/>
        <v>490</v>
      </c>
      <c r="E142" s="19">
        <v>27</v>
      </c>
      <c r="F142" s="19">
        <v>12</v>
      </c>
      <c r="G142" s="21">
        <v>42</v>
      </c>
      <c r="H142" s="16">
        <v>30</v>
      </c>
      <c r="I142" s="19">
        <v>24</v>
      </c>
      <c r="J142" s="19"/>
      <c r="K142" s="17">
        <f t="shared" si="15"/>
        <v>135</v>
      </c>
      <c r="L142" s="65">
        <f t="shared" si="16"/>
        <v>355</v>
      </c>
      <c r="M142" s="17"/>
      <c r="N142" s="23"/>
    </row>
    <row r="143" spans="1:14" x14ac:dyDescent="0.2">
      <c r="A143" s="31" t="s">
        <v>138</v>
      </c>
      <c r="B143" s="17">
        <v>299</v>
      </c>
      <c r="C143" s="17">
        <v>360</v>
      </c>
      <c r="D143" s="64">
        <f t="shared" si="14"/>
        <v>659</v>
      </c>
      <c r="E143" s="19">
        <f>18+48</f>
        <v>66</v>
      </c>
      <c r="F143" s="19">
        <v>9</v>
      </c>
      <c r="G143" s="21">
        <v>54</v>
      </c>
      <c r="H143" s="16">
        <v>27</v>
      </c>
      <c r="I143" s="19">
        <f>30+54</f>
        <v>84</v>
      </c>
      <c r="J143" s="19"/>
      <c r="K143" s="17">
        <f t="shared" si="15"/>
        <v>240</v>
      </c>
      <c r="L143" s="65">
        <f t="shared" si="16"/>
        <v>419</v>
      </c>
      <c r="M143" s="17"/>
      <c r="N143" s="23"/>
    </row>
    <row r="144" spans="1:14" x14ac:dyDescent="0.2">
      <c r="A144" s="31" t="s">
        <v>139</v>
      </c>
      <c r="B144" s="17">
        <v>214</v>
      </c>
      <c r="C144" s="17"/>
      <c r="D144" s="64">
        <f t="shared" si="14"/>
        <v>214</v>
      </c>
      <c r="E144" s="19">
        <v>9</v>
      </c>
      <c r="F144" s="19">
        <v>0</v>
      </c>
      <c r="G144" s="21">
        <v>0</v>
      </c>
      <c r="H144" s="16">
        <v>9</v>
      </c>
      <c r="I144" s="19">
        <v>54</v>
      </c>
      <c r="J144" s="19"/>
      <c r="K144" s="17">
        <f t="shared" si="15"/>
        <v>72</v>
      </c>
      <c r="L144" s="65">
        <f t="shared" si="16"/>
        <v>142</v>
      </c>
      <c r="M144" s="17"/>
      <c r="N144" s="23"/>
    </row>
    <row r="145" spans="1:14" x14ac:dyDescent="0.2">
      <c r="A145" s="31" t="s">
        <v>140</v>
      </c>
      <c r="B145" s="17">
        <v>0</v>
      </c>
      <c r="C145" s="17">
        <v>210</v>
      </c>
      <c r="D145" s="64">
        <f>B145+C145</f>
        <v>210</v>
      </c>
      <c r="E145" s="19">
        <v>0</v>
      </c>
      <c r="F145" s="19">
        <v>0</v>
      </c>
      <c r="G145" s="21">
        <v>0</v>
      </c>
      <c r="H145" s="16">
        <v>18</v>
      </c>
      <c r="I145" s="19">
        <v>0</v>
      </c>
      <c r="J145" s="19"/>
      <c r="K145" s="17">
        <f t="shared" si="15"/>
        <v>18</v>
      </c>
      <c r="L145" s="65">
        <f t="shared" si="16"/>
        <v>192</v>
      </c>
      <c r="M145" s="17"/>
      <c r="N145" s="23"/>
    </row>
    <row r="146" spans="1:14" x14ac:dyDescent="0.2">
      <c r="A146" s="31" t="s">
        <v>141</v>
      </c>
      <c r="B146" s="17">
        <v>0</v>
      </c>
      <c r="C146" s="17">
        <v>16</v>
      </c>
      <c r="D146" s="64">
        <f>B146+C146</f>
        <v>16</v>
      </c>
      <c r="E146" s="19">
        <v>36</v>
      </c>
      <c r="F146" s="19">
        <v>0</v>
      </c>
      <c r="G146" s="21">
        <v>9</v>
      </c>
      <c r="H146" s="16">
        <v>9</v>
      </c>
      <c r="I146" s="19">
        <v>72</v>
      </c>
      <c r="J146" s="19"/>
      <c r="K146" s="17">
        <f t="shared" si="15"/>
        <v>126</v>
      </c>
      <c r="L146" s="65">
        <f t="shared" si="16"/>
        <v>-110</v>
      </c>
      <c r="M146" s="17"/>
      <c r="N146" s="23"/>
    </row>
    <row r="147" spans="1:14" x14ac:dyDescent="0.2">
      <c r="A147" s="31" t="s">
        <v>142</v>
      </c>
      <c r="B147" s="17">
        <v>0</v>
      </c>
      <c r="C147" s="17"/>
      <c r="D147" s="64">
        <f>B147+C147</f>
        <v>0</v>
      </c>
      <c r="E147" s="19">
        <v>2</v>
      </c>
      <c r="F147" s="19">
        <v>0</v>
      </c>
      <c r="G147" s="21">
        <v>27</v>
      </c>
      <c r="H147" s="16">
        <v>18</v>
      </c>
      <c r="I147" s="19">
        <v>27</v>
      </c>
      <c r="J147" s="19"/>
      <c r="K147" s="17">
        <f t="shared" si="15"/>
        <v>74</v>
      </c>
      <c r="L147" s="65">
        <f t="shared" si="16"/>
        <v>-74</v>
      </c>
      <c r="M147" s="17"/>
      <c r="N147" s="23"/>
    </row>
    <row r="148" spans="1:14" x14ac:dyDescent="0.2">
      <c r="A148" s="31" t="s">
        <v>143</v>
      </c>
      <c r="B148" s="17">
        <v>41</v>
      </c>
      <c r="C148" s="17"/>
      <c r="D148" s="64">
        <f>B148+C148</f>
        <v>41</v>
      </c>
      <c r="E148" s="19">
        <v>0</v>
      </c>
      <c r="F148" s="19">
        <v>0</v>
      </c>
      <c r="G148" s="21">
        <v>0</v>
      </c>
      <c r="H148" s="16">
        <v>27</v>
      </c>
      <c r="I148" s="19">
        <f>6+9</f>
        <v>15</v>
      </c>
      <c r="J148" s="19"/>
      <c r="K148" s="17">
        <f t="shared" si="15"/>
        <v>42</v>
      </c>
      <c r="L148" s="65">
        <f t="shared" si="16"/>
        <v>-1</v>
      </c>
      <c r="M148" s="17"/>
      <c r="N148" s="23"/>
    </row>
    <row r="149" spans="1:14" x14ac:dyDescent="0.2">
      <c r="A149" s="31" t="s">
        <v>144</v>
      </c>
      <c r="B149" s="17">
        <v>0</v>
      </c>
      <c r="C149" s="17"/>
      <c r="D149" s="64">
        <f>B149+C149</f>
        <v>0</v>
      </c>
      <c r="E149" s="19">
        <v>2</v>
      </c>
      <c r="F149" s="19">
        <v>2</v>
      </c>
      <c r="G149" s="21">
        <v>2</v>
      </c>
      <c r="H149" s="16">
        <v>2</v>
      </c>
      <c r="I149" s="19">
        <v>4</v>
      </c>
      <c r="J149" s="19"/>
      <c r="K149" s="17">
        <f t="shared" si="15"/>
        <v>12</v>
      </c>
      <c r="L149" s="65">
        <f t="shared" si="16"/>
        <v>-12</v>
      </c>
      <c r="M149" s="17"/>
    </row>
    <row r="150" spans="1:14" x14ac:dyDescent="0.2">
      <c r="A150" s="36"/>
      <c r="M150" s="37"/>
    </row>
  </sheetData>
  <pageMargins left="0.19685039370078741" right="0.19685039370078741" top="0.27559055118110237" bottom="0.27559055118110237" header="0.31496062992125984" footer="0.31496062992125984"/>
  <pageSetup paperSize="9" scale="75" fitToHeight="4" orientation="portrait" r:id="rId1"/>
  <rowBreaks count="1" manualBreakCount="1">
    <brk id="7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    22,23</vt:lpstr>
      <vt:lpstr>'    22,23'!Área_de_impresión</vt:lpstr>
      <vt:lpstr>'    22,23'!Títulos_a_imprimir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Subires</dc:creator>
  <cp:lastModifiedBy>Diego Subires</cp:lastModifiedBy>
  <dcterms:created xsi:type="dcterms:W3CDTF">2026-06-03T07:20:24Z</dcterms:created>
  <dcterms:modified xsi:type="dcterms:W3CDTF">2026-06-03T07:21:01Z</dcterms:modified>
</cp:coreProperties>
</file>